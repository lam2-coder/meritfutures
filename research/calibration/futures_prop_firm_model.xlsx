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vmlDrawing2.vml" ContentType="application/vnd.openxmlformats-officedocument.vmlDrawing"/>
  <Override PartName="/xl/drawings/drawing4.xml" ContentType="application/vnd.openxmlformats-officedocument.drawing+xml"/>
  <Override PartName="/xl/drawings/vmlDrawing6.vml" ContentType="application/vnd.openxmlformats-officedocument.vmlDrawing"/>
  <Override PartName="/xl/comments17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comments9.xml" ContentType="application/vnd.openxmlformats-officedocument.spreadsheetml.comments+xml"/>
  <Override PartName="/xl/worksheets/_rels/sheet17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dustry Data" sheetId="2" state="visible" r:id="rId4"/>
    <sheet name="Firm Plans (Rules)" sheetId="3" state="visible" r:id="rId5"/>
    <sheet name="Our Firm — Plans" sheetId="4" state="visible" r:id="rId6"/>
    <sheet name="Firm Model (Economics)" sheetId="5" state="visible" r:id="rId7"/>
    <sheet name="Payout Reality Check" sheetId="6" state="visible" r:id="rId8"/>
    <sheet name="Eval Pass-Rate Model" sheetId="7" state="visible" r:id="rId9"/>
    <sheet name="Funded-Phase Model" sheetId="8" state="visible" r:id="rId10"/>
    <sheet name="Platform &amp; Data Costs" sheetId="9" state="visible" r:id="rId11"/>
    <sheet name="Firm Economics" sheetId="10" state="visible" r:id="rId12"/>
    <sheet name="Cost Stack" sheetId="11" state="visible" r:id="rId13"/>
    <sheet name="Pricing Power" sheetId="12" state="visible" r:id="rId14"/>
    <sheet name="Risk Engine (VaR)" sheetId="13" state="visible" r:id="rId15"/>
    <sheet name="Risk Operations" sheetId="14" state="visible" r:id="rId16"/>
    <sheet name="Live Program" sheetId="15" state="visible" r:id="rId17"/>
    <sheet name="Legal &amp; Compliance" sheetId="16" state="visible" r:id="rId18"/>
    <sheet name="18-Month Projection" sheetId="17" state="visible" r:id="rId19"/>
    <sheet name="Launch Playbook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Prop CAC is mostly affiliate commission: 10-30% of the challenge fee, paid only on a sale (MyFundedFutures pays 12%). Scales DOWN with the discount.</t>
        </r>
      </text>
    </comment>
    <comment ref="H4" authorId="0">
      <text>
        <r>
          <rPr>
            <sz val="10"/>
            <rFont val="Arial"/>
            <family val="2"/>
          </rPr>
          <t xml:space="preserve">Non-affiliate paid acquisition per signup (ads, sponsorships) blended with free/organic Discord traffic. Low because affiliates carry most acquisition.</t>
        </r>
      </text>
    </comment>
    <comment ref="J4" authorId="0">
      <text>
        <r>
          <rPr>
            <sz val="10"/>
            <rFont val="Arial"/>
            <family val="2"/>
          </rPr>
          <t xml:space="preserve">Share of eval passers who actually activate and trade the funded account. Set to 100% per Merit direction: every passer counted as full liability (conservative).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5" authorId="0">
      <text>
        <r>
          <rPr>
            <sz val="10"/>
            <rFont val="Arial"/>
            <family val="2"/>
          </rPr>
          <t xml:space="preserve">Feeds the "CME data + platform / funded acct" line on Cost Stack.</t>
        </r>
      </text>
    </comment>
    <comment ref="B57" authorId="0">
      <text>
        <r>
          <rPr>
            <sz val="10"/>
            <rFont val="Arial"/>
            <family val="2"/>
          </rPr>
          <t xml:space="preserve">Feeds "Variable cost per signup" on Firm Economics. = firm per-acct/mo x active months.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Funnel volume; whole model scales with this.</t>
        </r>
      </text>
    </comment>
    <comment ref="B6" authorId="0">
      <text>
        <r>
          <rPr>
            <sz val="10"/>
            <rFont val="Arial"/>
            <family val="2"/>
          </rPr>
          <t xml:space="preserve">Blended per signup: subscription months + activation + resets before pass/quit. Futures subs recur, so this exceeds a single entry fee.</t>
        </r>
      </text>
    </comment>
    <comment ref="B7" authorId="0">
      <text>
        <r>
          <rPr>
            <sz val="10"/>
            <rFont val="Arial"/>
            <family val="2"/>
          </rPr>
          <t xml:space="preserve">Resets ~60-80% of entry; ~30% blended uplift.</t>
        </r>
      </text>
    </comment>
    <comment ref="B8" authorId="0">
      <text>
        <r>
          <rPr>
            <sz val="10"/>
            <rFont val="Arial"/>
            <family val="2"/>
          </rPr>
          <t xml:space="preserve">Activation, upgrades, extra accounts.</t>
        </r>
      </text>
    </comment>
    <comment ref="B9" authorId="0">
      <text>
        <r>
          <rPr>
            <sz val="10"/>
            <rFont val="Arial"/>
            <family val="2"/>
          </rPr>
          <t xml:space="preserve">Set from a scenario on the Eval tab.</t>
        </r>
      </text>
    </comment>
    <comment ref="B10" authorId="0">
      <text>
        <r>
          <rPr>
            <sz val="10"/>
            <rFont val="Arial"/>
            <family val="2"/>
          </rPr>
          <t xml:space="preserve">From Funded-Phase Model "Firm $/funded". Default ~= a moderately disciplined ruleset (e.g. ~$1.5k cap or ~30% funded consistency). Baseline generous rules ~$2,232; loose ~$5,000+; tight ~$700.</t>
        </r>
      </text>
    </comment>
    <comment ref="B11" authorId="0">
      <text>
        <r>
          <rPr>
            <sz val="10"/>
            <rFont val="Arial"/>
            <family val="2"/>
          </rPr>
          <t xml:space="preserve">Prop CAC is high; 35-45% typical.</t>
        </r>
      </text>
    </comment>
    <comment ref="B12" authorId="0">
      <text>
        <r>
          <rPr>
            <sz val="10"/>
            <rFont val="Arial"/>
            <family val="2"/>
          </rPr>
          <t xml:space="preserve">Vendor SaaS + CME data + support + compliance.</t>
        </r>
      </text>
    </comment>
    <comment ref="B13" authorId="0">
      <text>
        <r>
          <rPr>
            <sz val="10"/>
            <rFont val="Arial"/>
            <family val="2"/>
          </rPr>
          <t xml:space="preserve">Live link to the Platform &amp; Data Costs tab (Rithmic/Tradovate/dxFeed/CME stack).</t>
        </r>
      </text>
    </comment>
    <comment ref="B14" authorId="0">
      <text>
        <r>
          <rPr>
            <sz val="10"/>
            <rFont val="Arial"/>
            <family val="2"/>
          </rPr>
          <t xml:space="preserve">High-risk MCC 6211: 3-8% + rolling reserves.</t>
        </r>
      </text>
    </comment>
    <comment ref="B15" authorId="0">
      <text>
        <r>
          <rPr>
            <sz val="10"/>
            <rFont val="Arial"/>
            <family val="2"/>
          </rPr>
          <t xml:space="preserve">Industry: Apex 20, TPT 10, TradeDay 6, Topstep/Tradeify 5. Higher = more scaling revenue but larger correlated payout spike.</t>
        </r>
      </text>
    </comment>
    <comment ref="E5" authorId="0">
      <text>
        <r>
          <rPr>
            <sz val="10"/>
            <rFont val="Arial"/>
            <family val="2"/>
          </rPr>
          <t xml:space="preserve">Gross margin per signup after variable cost and expected payout liability (pass x firm $/funded).</t>
        </r>
      </text>
    </comment>
    <comment ref="E9" authorId="0">
      <text>
        <r>
          <rPr>
            <sz val="10"/>
            <rFont val="Arial"/>
            <family val="2"/>
          </rPr>
          <t xml:space="preserve">Hold &gt;=3x avg monthly payout before scaling; pause funding below 2x.</t>
        </r>
      </text>
    </comment>
    <comment ref="E12" authorId="0">
      <text>
        <r>
          <rPr>
            <sz val="10"/>
            <rFont val="Arial"/>
            <family val="2"/>
          </rPr>
          <t xml:space="preserve">Distinct funded traders you carry (each may run several copy-traded accounts).</t>
        </r>
      </text>
    </comment>
    <comment ref="E13" authorId="0">
      <text>
        <r>
          <rPr>
            <sz val="10"/>
            <rFont val="Arial"/>
            <family val="2"/>
          </rPr>
          <t xml:space="preserve">Winners cluster (e.g. a trending month). Model the spike, not the average.</t>
        </r>
      </text>
    </comment>
    <comment ref="E15" authorId="0">
      <text>
        <r>
          <rPr>
            <sz val="10"/>
            <rFont val="Arial"/>
            <family val="2"/>
          </rPr>
          <t xml:space="preserve">Traders x cluster% x big payout x accounts each (copy-trading correlates a winning day across all a traders accounts). This is what actually bankrupts firms.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Ads/sponsorships. Most acquisition is AFFILIATE + organic Discord, so paid ads are a smaller slice than in most industries.</t>
        </r>
      </text>
    </comment>
    <comment ref="B6" authorId="0">
      <text>
        <r>
          <rPr>
            <sz val="10"/>
            <rFont val="Arial"/>
            <family val="2"/>
          </rPr>
          <t xml:space="preserve">The primary CAC channel: 10-30% of the challenge fee, paid only on a sale (MyFundedFutures 12%). Scales with the discounted price.</t>
        </r>
      </text>
    </comment>
    <comment ref="B7" authorId="0">
      <text>
        <r>
          <rPr>
            <sz val="10"/>
            <rFont val="Arial"/>
            <family val="2"/>
          </rPr>
          <t xml:space="preserve">Elevated in this high-risk vertical; traders dispute fees, fail, demand refunds.</t>
        </r>
      </text>
    </comment>
    <comment ref="B8" authorId="0">
      <text>
        <r>
          <rPr>
            <sz val="10"/>
            <rFont val="Arial"/>
            <family val="2"/>
          </rPr>
          <t xml:space="preserve">High-risk MCC 6211: 3-8% + rolling reserves 5-10% held back.</t>
        </r>
      </text>
    </comment>
    <comment ref="B9" authorId="0">
      <text>
        <r>
          <rPr>
            <sz val="10"/>
            <rFont val="Arial"/>
            <family val="2"/>
          </rPr>
          <t xml:space="preserve">Rise/Riseworks &amp; crypto rails take a cut on money going out.</t>
        </r>
      </text>
    </comment>
    <comment ref="B10" authorId="0">
      <text>
        <r>
          <rPr>
            <sz val="10"/>
            <rFont val="Arial"/>
            <family val="2"/>
          </rPr>
          <t xml:space="preserve">Live link to the firm per-account infra cost on the Platform &amp; Data Costs tab.</t>
        </r>
      </text>
    </comment>
    <comment ref="B11" authorId="0">
      <text>
        <r>
          <rPr>
            <sz val="10"/>
            <rFont val="Arial"/>
            <family val="2"/>
          </rPr>
          <t xml:space="preserve">Dashboards, risk engine, hosting, VPS, integrations. White-label licence added automatically from Platform &amp; Data Costs.</t>
        </r>
      </text>
    </comment>
    <comment ref="B12" authorId="0">
      <text>
        <r>
          <rPr>
            <sz val="10"/>
            <rFont val="Arial"/>
            <family val="2"/>
          </rPr>
          <t xml:space="preserve">24/7 support, risk/compliance monitoring team.</t>
        </r>
      </text>
    </comment>
    <comment ref="B13" authorId="0">
      <text>
        <r>
          <rPr>
            <sz val="10"/>
            <rFont val="Arial"/>
            <family val="2"/>
          </rPr>
          <t xml:space="preserve">KYC/AML, entity structuring, counsel. Rising with CFTC scrutiny.</t>
        </r>
      </text>
    </comment>
    <comment ref="B14" authorId="0">
      <text>
        <r>
          <rPr>
            <sz val="10"/>
            <rFont val="Arial"/>
            <family val="2"/>
          </rPr>
          <t xml:space="preserve">Multi-accounting, copy-trade abuse, coordinated rule exploitation.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Undiscounted sticker (or monthly equiv). Real futures 50K list ~$130-200.</t>
        </r>
      </text>
    </comment>
    <comment ref="B6" authorId="0">
      <text>
        <r>
          <rPr>
            <sz val="10"/>
            <rFont val="Arial"/>
            <family val="2"/>
          </rPr>
          <t xml:space="preserve">How many eval-equivalents a signup pays over its life via resets + subscription renewals + reactivations. Apex 30-day expiry + 20 accts drives this high; raise it to justify deeper discounts.</t>
        </r>
      </text>
    </comment>
    <comment ref="B7" authorId="0">
      <text>
        <r>
          <rPr>
            <sz val="10"/>
            <rFont val="Arial"/>
            <family val="2"/>
          </rPr>
          <t xml:space="preserve">Charged when a trader passes (Apex $79-99). Promo codes do not reduce it, so it is pure margin on every funded trader. This is a big reason 90%-off promos work.</t>
        </r>
      </text>
    </comment>
    <comment ref="B8" authorId="0">
      <text>
        <r>
          <rPr>
            <sz val="10"/>
            <rFont val="Arial"/>
            <family val="2"/>
          </rPr>
          <t xml:space="preserve">All-in marketing+affiliate per signup. If affiliates are paid % of sale, deep discounts self-limit CAC.</t>
        </r>
      </text>
    </comment>
    <comment ref="B9" authorId="0">
      <text>
        <r>
          <rPr>
            <sz val="10"/>
            <rFont val="Arial"/>
            <family val="2"/>
          </rPr>
          <t xml:space="preserve">Platform+data+PSP+support attributable to one eval signup.</t>
        </r>
      </text>
    </comment>
    <comment ref="B16" authorId="0">
      <text>
        <r>
          <rPr>
            <sz val="10"/>
            <rFont val="Arial"/>
            <family val="2"/>
          </rPr>
          <t xml:space="preserve">eff_min = (CAC + serve + payout liability - activation revenue) / lifetime multiple. Below this post-discount price, each signup loses money.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Ramp rate. 12%/mo compounds fast.</t>
        </r>
      </text>
    </comment>
    <comment ref="B8" authorId="0">
      <text>
        <r>
          <rPr>
            <sz val="10"/>
            <rFont val="Arial"/>
            <family val="2"/>
          </rPr>
          <t xml:space="preserve">Eff price x rebuys + activation, blended. From Firm Model / Pricing Power.</t>
        </r>
      </text>
    </comment>
    <comment ref="B10" authorId="0">
      <text>
        <r>
          <rPr>
            <sz val="10"/>
            <rFont val="Arial"/>
            <family val="2"/>
          </rPr>
          <t xml:space="preserve">From your chosen plan. Our tight plans ~$200-850.</t>
        </r>
      </text>
    </comment>
    <comment ref="B12" authorId="0">
      <text>
        <r>
          <rPr>
            <sz val="10"/>
            <rFont val="Arial"/>
            <family val="2"/>
          </rPr>
          <t xml:space="preserve">Platform licence + infra + staff + legal (see Cost Stack).</t>
        </r>
      </text>
    </comment>
    <comment ref="B13" authorId="0">
      <text>
        <r>
          <rPr>
            <sz val="10"/>
            <rFont val="Arial"/>
            <family val="2"/>
          </rPr>
          <t xml:space="preserve">Insider benchmark (Jul 2025): $30-40k whitelabel + $300-500k reserves minimum. $350k = tech + mid-range reserve.</t>
        </r>
      </text>
    </comment>
    <comment ref="E13" authorId="0">
      <text>
        <r>
          <rPr>
            <sz val="10"/>
            <rFont val="Arial"/>
            <family val="2"/>
          </rPr>
          <t xml:space="preserve">Extra cash owed that month if winners cluster.</t>
        </r>
      </text>
    </comment>
  </commentList>
</comments>
</file>

<file path=xl/sharedStrings.xml><?xml version="1.0" encoding="utf-8"?>
<sst xmlns="http://schemas.openxmlformats.org/spreadsheetml/2006/main" count="1780" uniqueCount="1137">
  <si>
    <t xml:space="preserve">Futures Prop Firm — Full-Lifecycle Statistics &amp; Economics Model</t>
  </si>
  <si>
    <t xml:space="preserve">Monte-Carlo of the whole funnel (buy -&gt; pass eval -&gt; funded -&gt; payout) + live firm P&amp;L driven by rule design.</t>
  </si>
  <si>
    <t xml:space="preserve">WHAT CHANGED IN THIS VERSION</t>
  </si>
  <si>
    <t xml:space="preserve">The simulator now models BOTH phases with the SAME traders carried through:</t>
  </si>
  <si>
    <t xml:space="preserve">  Evaluation rules  : profit target, drawdown type/size, daily-loss limit, eval consistency, min trading days.</t>
  </si>
  <si>
    <t xml:space="preserve">  Funded rules      : funded drawdown type/size, funded consistency, min days to payout, winning-day count + floor,</t>
  </si>
  <si>
    <t xml:space="preserve">                      payout buffer / safety net, per-request payout cap, max payouts, profit split.</t>
  </si>
  <si>
    <t xml:space="preserve">Every one is a lever with its own sensitivity sweep. Firm Economics is now driven by rule design end-to-end.</t>
  </si>
  <si>
    <t xml:space="preserve">THE FOUR OUTPUTS THAT MATTER</t>
  </si>
  <si>
    <t xml:space="preserve">eval pass %        -&gt; how many buyers become funded (drives volume of funded liability).</t>
  </si>
  <si>
    <t xml:space="preserve">funded -&gt; payout % -&gt; of funded, how many ever draw cash (the real FPFX ~45% number).</t>
  </si>
  <si>
    <t xml:space="preserve">firm $ / funded    -&gt; average cash the FIRM pays out per funded trader over the account life (per $50K account).</t>
  </si>
  <si>
    <t xml:space="preserve">                      This single number = reached-rate x #payouts x payout size x split. It is your payout liability.</t>
  </si>
  <si>
    <t xml:space="preserve">net profit / margin-&gt; what the firm keeps after payouts, marketing, processing and fixed costs.</t>
  </si>
  <si>
    <t xml:space="preserve">ORGANIZATION (18 tabs)</t>
  </si>
  <si>
    <t xml:space="preserve">DATA:  Industry Data | Payout Reality Check | Firm Plans (Rules) - 16 firms, verified, incl. all-in price, cap, cadence, live path.</t>
  </si>
  <si>
    <t xml:space="preserve">MODEL:  Firm Model (Economics) - every plan simulated | Eval + Funded sensitivity tabs | Our Firm - Plans (our floor-priced strategy).</t>
  </si>
  <si>
    <t xml:space="preserve">MONEY:  Platform &amp; Data Costs | Firm Economics | Cost Stack (full margin) | 18-Month Projection (treasury survival test).</t>
  </si>
  <si>
    <t xml:space="preserve">LEVERS:  Pricing Power (discount floor).</t>
  </si>
  <si>
    <t xml:space="preserve">RISK:  Risk Engine (VaR) - correlated payout tails + ruin by capital | Risk Operations - dashboard, abuse detection, monitoring stats.</t>
  </si>
  <si>
    <t xml:space="preserve">LAUNCH:  Live Program (cost-reducer design) | Legal &amp; Compliance | Launch Playbook.</t>
  </si>
  <si>
    <t xml:space="preserve">HOW TO USE</t>
  </si>
  <si>
    <t xml:space="preserve">1. Firm Plans (Rules) = the verified competitive landscape. Our Firm - Plans = our answer, priced at the floor.</t>
  </si>
  <si>
    <t xml:space="preserve">2. 18-Month Projection = the survival test (payout lag + correlated spike, not unit economics, kills firms).</t>
  </si>
  <si>
    <t xml:space="preserve">3. Live Program: graduating winners to real capital CUTS cost — live terms can be unrestricted.</t>
  </si>
  <si>
    <t xml:space="preserve">4. Re-run mc_lifecycle.py after any rule change; blue cells are editable everywhere.</t>
  </si>
  <si>
    <t xml:space="preserve">COLOR LEGEND</t>
  </si>
  <si>
    <t xml:space="preserve">BLUE = input / lever you set.  BLACK = formula.  GREEN = pulled from another tab.  YELLOW = key assumption to review.</t>
  </si>
  <si>
    <t xml:space="preserve">CALIBRATION (trust the relative moves; treat absolutes as estimates)</t>
  </si>
  <si>
    <t xml:space="preserve">Trader skill distribution tuned so composites reproduce public aggregates:</t>
  </si>
  <si>
    <t xml:space="preserve">  Eval pass:  Topstep-style 15.3% (reported 16.8%) | Apex-style 14.6% (reported 15-20%) | TPT-style 22% (reported ~20%).</t>
  </si>
  <si>
    <t xml:space="preserve">  Funnel:     funded-&gt;payout ~55% modeled vs FPFX ~45% (FPFX includes forex; a futures-only book runs a bit higher).</t>
  </si>
  <si>
    <t xml:space="preserve">              overall buyer-paid ~8% modeled vs ~7% reported. Average payout ~4% of nominal, matched.</t>
  </si>
  <si>
    <t xml:space="preserve">Real per-rule causal data is proprietary. Engine = mc_lifecycle.py; re-run with your own skill/rule assumptions.</t>
  </si>
  <si>
    <t xml:space="preserve">DISCLAIMER</t>
  </si>
  <si>
    <t xml:space="preserve">Planning model, not financial/legal/tax advice. US futures-prop regulation is unsettled (CFTC consultation closes 30 Nov 2026).</t>
  </si>
  <si>
    <t xml:space="preserve">Validate assumptions, payout-reserve adequacy, and legal/registration posture with qualified counsel before launch.</t>
  </si>
  <si>
    <t xml:space="preserve">Industry Data — Real, Sourced</t>
  </si>
  <si>
    <t xml:space="preserve">Self-reported by firms or third-party datasets; directional (no audited central database exists).</t>
  </si>
  <si>
    <t xml:space="preserve">Metric</t>
  </si>
  <si>
    <t xml:space="preserve">Value</t>
  </si>
  <si>
    <t xml:space="preserve">Source</t>
  </si>
  <si>
    <t xml:space="preserve">Evaluation pass rate (large independent set)</t>
  </si>
  <si>
    <t xml:space="preserve">FPFX Technologies 300k+ accounts / 100k traders / 10 firms (Finance Magnates)</t>
  </si>
  <si>
    <t xml:space="preserve">Funded traders who ever reach a payout</t>
  </si>
  <si>
    <t xml:space="preserve">FPFX Technologies dataset</t>
  </si>
  <si>
    <t xml:space="preserve">All challenge buyers who ever get paid</t>
  </si>
  <si>
    <t xml:space="preserve">Average payout (share of nominal account)</t>
  </si>
  <si>
    <t xml:space="preserve">Winner return on total fees spent</t>
  </si>
  <si>
    <t xml:space="preserve">FPFX: $7.6M paid vs $1.9M invested</t>
  </si>
  <si>
    <t xml:space="preserve">Topstep — 2025 Combine completion rate</t>
  </si>
  <si>
    <t xml:space="preserve">Topstep site disclosure, Jan-Dec 2025</t>
  </si>
  <si>
    <t xml:space="preserve">Take Profit Trader — 1-step pass rate</t>
  </si>
  <si>
    <t xml:space="preserve">TPT disclosure, Jan-Aug 2023</t>
  </si>
  <si>
    <t xml:space="preserve">Apex — first-attempt pass rate</t>
  </si>
  <si>
    <t xml:space="preserve">Apex self-reported (15-20% midpoint)</t>
  </si>
  <si>
    <t xml:space="preserve">Share of Phase-1 failures = daily-drawdown breach</t>
  </si>
  <si>
    <t xml:space="preserve">tradeclaris.com industry data</t>
  </si>
  <si>
    <t xml:space="preserve">Apex cumulative payouts since 2022</t>
  </si>
  <si>
    <t xml:space="preserve">Apex / quantvps.com 2026</t>
  </si>
  <si>
    <t xml:space="preserve">Industry payouts in 2025</t>
  </si>
  <si>
    <t xml:space="preserve">apextraderfunding.com</t>
  </si>
  <si>
    <t xml:space="preserve">Global prop market size (est.)</t>
  </si>
  <si>
    <t xml:space="preserve">2026 industry summaries</t>
  </si>
  <si>
    <t xml:space="preserve">Active prop firms worldwide (est.)</t>
  </si>
  <si>
    <t xml:space="preserve">Firms 2020-23 gone / restructured</t>
  </si>
  <si>
    <t xml:space="preserve">thepropfirmguide.com (55-65% midpoint)</t>
  </si>
  <si>
    <t xml:space="preserve">Firms collapsed 2024-early 2026</t>
  </si>
  <si>
    <t xml:space="preserve">topbrokers360.com (80-100 midpoint)</t>
  </si>
  <si>
    <t xml:space="preserve">Topstep min payout</t>
  </si>
  <si>
    <t xml:space="preserve">Topstep help center 2026</t>
  </si>
  <si>
    <t xml:space="preserve">Apex min payout</t>
  </si>
  <si>
    <t xml:space="preserve">Apex 4.0 rules 2026</t>
  </si>
  <si>
    <t xml:space="preserve">Apex max payouts per PA (then converts)</t>
  </si>
  <si>
    <t xml:space="preserve">Firm Plans — Verified Rules, 16 Firms (Aug 2026)</t>
  </si>
  <si>
    <t xml:space="preserve">50K tier canonical (25K where flagship). Verified vs firm help centers + PickAPropFirm live table (all-in incl. activation). Rules change constantly — re-verify before relying.</t>
  </si>
  <si>
    <t xml:space="preserve">Firm</t>
  </si>
  <si>
    <t xml:space="preserve">Plan</t>
  </si>
  <si>
    <t xml:space="preserve">Size</t>
  </si>
  <si>
    <t xml:space="preserve">Billing / all-in</t>
  </si>
  <si>
    <t xml:space="preserve">All-in $</t>
  </si>
  <si>
    <t xml:space="preserve">Eval DD</t>
  </si>
  <si>
    <t xml:space="preserve">Eval cons.</t>
  </si>
  <si>
    <t xml:space="preserve">Ev min</t>
  </si>
  <si>
    <t xml:space="preserve">Funded DD</t>
  </si>
  <si>
    <t xml:space="preserve">Fund cons.</t>
  </si>
  <si>
    <t xml:space="preserve">1st payout gate</t>
  </si>
  <si>
    <t xml:space="preserve">Pay gap</t>
  </si>
  <si>
    <t xml:space="preserve">Payout cap</t>
  </si>
  <si>
    <t xml:space="preserve">Split</t>
  </si>
  <si>
    <t xml:space="preserve">Max acc</t>
  </si>
  <si>
    <t xml:space="preserve">Live path / notes</t>
  </si>
  <si>
    <t xml:space="preserve">Apex</t>
  </si>
  <si>
    <t xml:space="preserve">Intraday</t>
  </si>
  <si>
    <t xml:space="preserve">50K</t>
  </si>
  <si>
    <t xml:space="preserve">OTP, promo no-act.</t>
  </si>
  <si>
    <t xml:space="preserve">Trail intraday</t>
  </si>
  <si>
    <t xml:space="preserve">None</t>
  </si>
  <si>
    <t xml:space="preserve">0</t>
  </si>
  <si>
    <t xml:space="preserve">50%</t>
  </si>
  <si>
    <t xml:space="preserve">5 qual. days $200+</t>
  </si>
  <si>
    <t xml:space="preserve">5d</t>
  </si>
  <si>
    <t xml:space="preserve">$1,500</t>
  </si>
  <si>
    <t xml:space="preserve">100%</t>
  </si>
  <si>
    <t xml:space="preserve">20</t>
  </si>
  <si>
    <t xml:space="preserve">Invitation-only Live; Bonus Vault 20-40%; daily, no rules on live</t>
  </si>
  <si>
    <t xml:space="preserve">EOD</t>
  </si>
  <si>
    <t xml:space="preserve">Trail EOD</t>
  </si>
  <si>
    <t xml:space="preserve">5 qual. days $250+</t>
  </si>
  <si>
    <t xml:space="preserve">6-payout ladder then Live consideration</t>
  </si>
  <si>
    <t xml:space="preserve">Intraday (non-promo)</t>
  </si>
  <si>
    <t xml:space="preserve">OTP $25 + $79 act.</t>
  </si>
  <si>
    <t xml:space="preserve">5 qual. days</t>
  </si>
  <si>
    <t xml:space="preserve">$99 PA activation when not promo-waived</t>
  </si>
  <si>
    <t xml:space="preserve">Legacy</t>
  </si>
  <si>
    <t xml:space="preserve">Sub $20/mo + $125 act. + $85/mo PA</t>
  </si>
  <si>
    <t xml:space="preserve">Trailing</t>
  </si>
  <si>
    <t xml:space="preserve">1</t>
  </si>
  <si>
    <t xml:space="preserve">8 days</t>
  </si>
  <si>
    <t xml:space="preserve">8d</t>
  </si>
  <si>
    <t xml:space="preserve">$2,000</t>
  </si>
  <si>
    <t xml:space="preserve">Old ruleset; PA monthly fee</t>
  </si>
  <si>
    <t xml:space="preserve">Topstep</t>
  </si>
  <si>
    <t xml:space="preserve">Combine -&gt; Express</t>
  </si>
  <si>
    <t xml:space="preserve">Sub $101/mo (+$149 act. on Standard)</t>
  </si>
  <si>
    <t xml:space="preserve">Trail EOD (locks at start)</t>
  </si>
  <si>
    <t xml:space="preserve">2</t>
  </si>
  <si>
    <t xml:space="preserve">None (Std) / 40%</t>
  </si>
  <si>
    <t xml:space="preserve">5 win days $150+</t>
  </si>
  <si>
    <t xml:space="preserve">50% bal, $2,000</t>
  </si>
  <si>
    <t xml:space="preserve">90/10</t>
  </si>
  <si>
    <t xml:space="preserve">5</t>
  </si>
  <si>
    <t xml:space="preserve">Risk-team promotion to Live; MLL resets $0 post-payout</t>
  </si>
  <si>
    <t xml:space="preserve">TakeProfit Trader</t>
  </si>
  <si>
    <t xml:space="preserve">Test -&gt; PRO</t>
  </si>
  <si>
    <t xml:space="preserve">Sub $102/mo, $0 act.</t>
  </si>
  <si>
    <t xml:space="preserve">Trail intraday (PRO)</t>
  </si>
  <si>
    <t xml:space="preserve">Buffer zone: bal $52,000</t>
  </si>
  <si>
    <t xml:space="preserve">1d (daily)</t>
  </si>
  <si>
    <t xml:space="preserve">None above buffer (50% penalty below)</t>
  </si>
  <si>
    <t xml:space="preserve">80/20</t>
  </si>
  <si>
    <t xml:space="preserve">PRO+ = LIVE acct: EOD DD, 90/10, no buffer; DLL $1,100; 4:10pm close</t>
  </si>
  <si>
    <t xml:space="preserve">MyFundedFutures</t>
  </si>
  <si>
    <t xml:space="preserve">Rapid</t>
  </si>
  <si>
    <t xml:space="preserve">Sub $79/mo, $0 act.</t>
  </si>
  <si>
    <t xml:space="preserve">30%</t>
  </si>
  <si>
    <t xml:space="preserve">Trail intraday (locks +$100)</t>
  </si>
  <si>
    <t xml:space="preserve">$2,100 buffer</t>
  </si>
  <si>
    <t xml:space="preserve">None ($500 min)</t>
  </si>
  <si>
    <t xml:space="preserve">Rapid Live at $10K/day profit or risk approval: $0-start, EOD, no buffer</t>
  </si>
  <si>
    <t xml:space="preserve">Rapid EOD (new)</t>
  </si>
  <si>
    <t xml:space="preserve">OTP $126</t>
  </si>
  <si>
    <t xml:space="preserve">4</t>
  </si>
  <si>
    <t xml:space="preserve">$2,100 first buffer, then $500 net/cycle</t>
  </si>
  <si>
    <t xml:space="preserve">3</t>
  </si>
  <si>
    <t xml:space="preserve">Stays EOD in funded — the differentiator</t>
  </si>
  <si>
    <t xml:space="preserve">Pro</t>
  </si>
  <si>
    <t xml:space="preserve">Sub $114/mo, $0 act.</t>
  </si>
  <si>
    <t xml:space="preserve">Trail EOD (locks start+$100 after 1st)</t>
  </si>
  <si>
    <t xml:space="preserve">14 calendar days; $2,100 buffer; $1,000 min</t>
  </si>
  <si>
    <t xml:space="preserve">14d</t>
  </si>
  <si>
    <t xml:space="preserve">$100K lifetime; 60% one-time pre-buffer</t>
  </si>
  <si>
    <t xml:space="preserve">Bi-weekly cadence; no consistency anywhere in funded</t>
  </si>
  <si>
    <t xml:space="preserve">Tradeify</t>
  </si>
  <si>
    <t xml:space="preserve">Growth</t>
  </si>
  <si>
    <t xml:space="preserve">OTP $87, $0 act.</t>
  </si>
  <si>
    <t xml:space="preserve">35%</t>
  </si>
  <si>
    <t xml:space="preserve">5 qual. days $150+</t>
  </si>
  <si>
    <t xml:space="preserve">—</t>
  </si>
  <si>
    <t xml:space="preserve">Select Flex</t>
  </si>
  <si>
    <t xml:space="preserve">OTP $99, $0 act.</t>
  </si>
  <si>
    <t xml:space="preserve">40%</t>
  </si>
  <si>
    <t xml:space="preserve">5 win days</t>
  </si>
  <si>
    <t xml:space="preserve">$3,000</t>
  </si>
  <si>
    <t xml:space="preserve">Select Daily</t>
  </si>
  <si>
    <t xml:space="preserve">day 1</t>
  </si>
  <si>
    <t xml:space="preserve">$1,000</t>
  </si>
  <si>
    <t xml:space="preserve">Daily variant trades cap for cadence</t>
  </si>
  <si>
    <t xml:space="preserve">Lightning (D2F)</t>
  </si>
  <si>
    <t xml:space="preserve">OTP $295 instant</t>
  </si>
  <si>
    <t xml:space="preserve">20/25/30% tiered</t>
  </si>
  <si>
    <t xml:space="preserve">5 min days</t>
  </si>
  <si>
    <t xml:space="preserve">Direct-to-funded; original sustainable D2F product</t>
  </si>
  <si>
    <t xml:space="preserve">TradeDay</t>
  </si>
  <si>
    <t xml:space="preserve">Quick Pay Intraday</t>
  </si>
  <si>
    <t xml:space="preserve">Sub $59/mo, $0 act.</t>
  </si>
  <si>
    <t xml:space="preserve">$5,000</t>
  </si>
  <si>
    <t xml:space="preserve">Brokerage-backed (TradeDay is an intro broker); live path via desk</t>
  </si>
  <si>
    <t xml:space="preserve">Fast Pass EOD</t>
  </si>
  <si>
    <t xml:space="preserve">Sub $85/mo, $0 act.</t>
  </si>
  <si>
    <t xml:space="preserve">45%</t>
  </si>
  <si>
    <t xml:space="preserve">5 profitable days</t>
  </si>
  <si>
    <t xml:space="preserve">Eval min days != funded min days — set separately</t>
  </si>
  <si>
    <t xml:space="preserve">Lucid Trading</t>
  </si>
  <si>
    <t xml:space="preserve">Flex (DLL)</t>
  </si>
  <si>
    <t xml:space="preserve">OTP $90, $0 act.</t>
  </si>
  <si>
    <t xml:space="preserve">Live restructured Feb-26: $0-start EOD; bonus DOUBLES capital at first live target</t>
  </si>
  <si>
    <t xml:space="preserve">Pro (DLL)</t>
  </si>
  <si>
    <t xml:space="preserve">OTP $115, $0 act.</t>
  </si>
  <si>
    <t xml:space="preserve">buffer $2,500</t>
  </si>
  <si>
    <t xml:space="preserve">3d</t>
  </si>
  <si>
    <t xml:space="preserve">LucidMaxx = premium daily-payout live acct</t>
  </si>
  <si>
    <t xml:space="preserve">Daily (Intraday DLL)</t>
  </si>
  <si>
    <t xml:space="preserve">OTP $95, $0 act.</t>
  </si>
  <si>
    <t xml:space="preserve">20%</t>
  </si>
  <si>
    <t xml:space="preserve">buffer</t>
  </si>
  <si>
    <t xml:space="preserve">$8,000</t>
  </si>
  <si>
    <t xml:space="preserve">15-min payout processing</t>
  </si>
  <si>
    <t xml:space="preserve">Direct (D2F)</t>
  </si>
  <si>
    <t xml:space="preserve">OTP $364 instant</t>
  </si>
  <si>
    <t xml:space="preserve">Direct-to-funded</t>
  </si>
  <si>
    <t xml:space="preserve">FundedNext</t>
  </si>
  <si>
    <t xml:space="preserve">Flex</t>
  </si>
  <si>
    <t xml:space="preserve">OTP $70, $0 act.</t>
  </si>
  <si>
    <t xml:space="preserve">NO buffer; 5 benchmark days $200+</t>
  </si>
  <si>
    <t xml:space="preserve">$1,500/cycle</t>
  </si>
  <si>
    <t xml:space="preserve">80% (95% add-on)</t>
  </si>
  <si>
    <t xml:space="preserve">Road-to-Live program; 24h payout guarantee ($1,000 comp if missed)</t>
  </si>
  <si>
    <t xml:space="preserve">Rapid Pro</t>
  </si>
  <si>
    <t xml:space="preserve">OTP $150, $0 act.</t>
  </si>
  <si>
    <t xml:space="preserve">no benchmark days; buffer clear</t>
  </si>
  <si>
    <t xml:space="preserve">$1,200/cycle</t>
  </si>
  <si>
    <t xml:space="preserve">Pass in 1 session possible; optional DLL add-on discounts price</t>
  </si>
  <si>
    <t xml:space="preserve">Rapid Daily</t>
  </si>
  <si>
    <t xml:space="preserve">Trail EOD + hard DLL $1,000</t>
  </si>
  <si>
    <t xml:space="preserve">Trail EOD + DLL</t>
  </si>
  <si>
    <t xml:space="preserve">buffer clear; pass today, paid tomorrow</t>
  </si>
  <si>
    <t xml:space="preserve">DLL is soft-breach (pauses session)</t>
  </si>
  <si>
    <t xml:space="preserve">OTP $190, $0 act.</t>
  </si>
  <si>
    <t xml:space="preserve">no buffer</t>
  </si>
  <si>
    <t xml:space="preserve">$6,000</t>
  </si>
  <si>
    <t xml:space="preserve">Up to $700K across 5 accounts</t>
  </si>
  <si>
    <t xml:space="preserve">The5ers</t>
  </si>
  <si>
    <t xml:space="preserve">Day Trade</t>
  </si>
  <si>
    <t xml:space="preserve">OTP $80, $0 act.</t>
  </si>
  <si>
    <t xml:space="preserve">None (no % rule)</t>
  </si>
  <si>
    <t xml:space="preserve">3 profitable days at 0.5%+ each; $150 min</t>
  </si>
  <si>
    <t xml:space="preserve">14d (biweekly)</t>
  </si>
  <si>
    <t xml:space="preserve">NO percentage consistency — min-profitable-days instead (the5ers.com FAQ)</t>
  </si>
  <si>
    <t xml:space="preserve">Swing</t>
  </si>
  <si>
    <t xml:space="preserve">OTP $96, $0 act.</t>
  </si>
  <si>
    <t xml:space="preserve">3 profitable days 0.5%+</t>
  </si>
  <si>
    <t xml:space="preserve">Overnight holding allowed</t>
  </si>
  <si>
    <t xml:space="preserve">E8 Futures</t>
  </si>
  <si>
    <t xml:space="preserve">Signature</t>
  </si>
  <si>
    <t xml:space="preserve">OTP $120, $0 act.</t>
  </si>
  <si>
    <t xml:space="preserve">EOD dynamic</t>
  </si>
  <si>
    <t xml:space="preserve">EOD dynamic + 2% daily pause (soft)</t>
  </si>
  <si>
    <t xml:space="preserve">35% best-day</t>
  </si>
  <si>
    <t xml:space="preserve">buffer = full DD (permanent)</t>
  </si>
  <si>
    <t xml:space="preserve">$1,250 (ladder)</t>
  </si>
  <si>
    <t xml:space="preserve">MAX 5 payouts per acct then closes (help.e8markets.com)</t>
  </si>
  <si>
    <t xml:space="preserve">Zero Starter</t>
  </si>
  <si>
    <t xml:space="preserve">OTP $116 ($148 for 100% split)</t>
  </si>
  <si>
    <t xml:space="preserve">In challenge only</t>
  </si>
  <si>
    <t xml:space="preserve">80% / 100%</t>
  </si>
  <si>
    <t xml:space="preserve">No funded consistency/min days; caps + MAX 5 payouts (help.e8markets.com)</t>
  </si>
  <si>
    <t xml:space="preserve">BluSky</t>
  </si>
  <si>
    <t xml:space="preserve">Propel</t>
  </si>
  <si>
    <t xml:space="preserve">Sub $112/mo, $0 act.</t>
  </si>
  <si>
    <t xml:space="preserve">—verify</t>
  </si>
  <si>
    <t xml:space="preserve">$2,500</t>
  </si>
  <si>
    <t xml:space="preserve">Also Static variants</t>
  </si>
  <si>
    <t xml:space="preserve">Launch</t>
  </si>
  <si>
    <t xml:space="preserve">Sub $30/mo + $99 act.</t>
  </si>
  <si>
    <t xml:space="preserve">1-month-pass all-in shown</t>
  </si>
  <si>
    <t xml:space="preserve">Legends Trading</t>
  </si>
  <si>
    <t xml:space="preserve">Elite</t>
  </si>
  <si>
    <t xml:space="preserve">OTP $121, $0 act.</t>
  </si>
  <si>
    <t xml:space="preserve">Trailing (MLL $2,200 - tight)</t>
  </si>
  <si>
    <t xml:space="preserve">Tightest MLL:target ratio in set</t>
  </si>
  <si>
    <t xml:space="preserve">Apprentice</t>
  </si>
  <si>
    <t xml:space="preserve">7d</t>
  </si>
  <si>
    <t xml:space="preserve">$1,200</t>
  </si>
  <si>
    <t xml:space="preserve">Phidias</t>
  </si>
  <si>
    <t xml:space="preserve">Fundamental</t>
  </si>
  <si>
    <t xml:space="preserve">OTP $116 (or $66/mo + $149 act.)</t>
  </si>
  <si>
    <t xml:space="preserve">10d</t>
  </si>
  <si>
    <t xml:space="preserve">ONLY major firm allowing overnight/weekend (Swing)</t>
  </si>
  <si>
    <t xml:space="preserve">Express to Live (Static)</t>
  </si>
  <si>
    <t xml:space="preserve">OTP, static DD</t>
  </si>
  <si>
    <t xml:space="preserve">Static</t>
  </si>
  <si>
    <t xml:space="preserve">REAL LIVE (Dorman, NFA)</t>
  </si>
  <si>
    <t xml:space="preserve">converts on FIRST payout</t>
  </si>
  <si>
    <t xml:space="preserve">NONE - no cap, no ceiling</t>
  </si>
  <si>
    <t xml:space="preserve">Static DD direct to real capital; zero payouts denied claim; One Day Pass</t>
  </si>
  <si>
    <t xml:space="preserve">Bulenox</t>
  </si>
  <si>
    <t xml:space="preserve">Option 1</t>
  </si>
  <si>
    <t xml:space="preserve">Sub $19/mo + $148 act.</t>
  </si>
  <si>
    <t xml:space="preserve">Real-time trail, no DLL</t>
  </si>
  <si>
    <t xml:space="preserve">Master (sim)</t>
  </si>
  <si>
    <t xml:space="preserve">10 days to 1st payout</t>
  </si>
  <si>
    <t xml:space="preserve">Capped first 3 payouts</t>
  </si>
  <si>
    <t xml:space="preserve">100% 1st $10K then 90/10</t>
  </si>
  <si>
    <t xml:space="preserve">11</t>
  </si>
  <si>
    <t xml:space="preserve">After 3 Master payouts -&gt; REAL funded acct. EAs/bots fully allowed</t>
  </si>
  <si>
    <t xml:space="preserve">Option 2</t>
  </si>
  <si>
    <t xml:space="preserve">Sub $44/mo + $148 act.</t>
  </si>
  <si>
    <t xml:space="preserve">10 days</t>
  </si>
  <si>
    <t xml:space="preserve">Capped first 3</t>
  </si>
  <si>
    <t xml:space="preserve">100%/90-10</t>
  </si>
  <si>
    <t xml:space="preserve">3-stage: Qualification -&gt; Master -&gt; real Funded</t>
  </si>
  <si>
    <t xml:space="preserve">Day Traders</t>
  </si>
  <si>
    <t xml:space="preserve">OTP $20 + $99 act.</t>
  </si>
  <si>
    <t xml:space="preserve">Static ($1,000 MLL vs $3,750 target)</t>
  </si>
  <si>
    <t xml:space="preserve">15</t>
  </si>
  <si>
    <t xml:space="preserve">$99 activation model; 100% split</t>
  </si>
  <si>
    <t xml:space="preserve">S2F (D2F)</t>
  </si>
  <si>
    <t xml:space="preserve">OTP $342 instant</t>
  </si>
  <si>
    <t xml:space="preserve">10 min days</t>
  </si>
  <si>
    <t xml:space="preserve">TopOne</t>
  </si>
  <si>
    <t xml:space="preserve">Elite Challenge</t>
  </si>
  <si>
    <t xml:space="preserve">Sub ~$109 (50% code)</t>
  </si>
  <si>
    <t xml:space="preserve">varies</t>
  </si>
  <si>
    <t xml:space="preserve">25%</t>
  </si>
  <si>
    <t xml:space="preserve">$2,500/cycle</t>
  </si>
  <si>
    <t xml:space="preserve">Weekly cycles; 20-acct stacking like Apex</t>
  </si>
  <si>
    <t xml:space="preserve">S2F PRO (D2F)</t>
  </si>
  <si>
    <t xml:space="preserve">OTP ~$412 instant</t>
  </si>
  <si>
    <t xml:space="preserve">OUR FIRM</t>
  </si>
  <si>
    <t xml:space="preserve">Core EOD</t>
  </si>
  <si>
    <t xml:space="preserve">OTP $79-99, $0 act.</t>
  </si>
  <si>
    <t xml:space="preserve">5 win days $150+; $1,000 buffer</t>
  </si>
  <si>
    <t xml:space="preserve">10</t>
  </si>
  <si>
    <t xml:space="preserve">Live tier later: gated graduation converts winners to real P&amp;L</t>
  </si>
  <si>
    <t xml:space="preserve">OTP $88-110, $0 act.</t>
  </si>
  <si>
    <t xml:space="preserve">5 win days; $1,000 buffer</t>
  </si>
  <si>
    <t xml:space="preserve">Daily cadence magnet, tight cap</t>
  </si>
  <si>
    <t xml:space="preserve">OTP ~$303 instant</t>
  </si>
  <si>
    <t xml:space="preserve">Trail EOD 4%</t>
  </si>
  <si>
    <t xml:space="preserve">5 win days; $1,500 buffer</t>
  </si>
  <si>
    <t xml:space="preserve">Instant; tightest funded rules</t>
  </si>
  <si>
    <t xml:space="preserve">All-in $ = discounted price + any activation (the true cost to reach funded). Billing shows the structure: OTP / subscription / +activation / D2F instant.</t>
  </si>
  <si>
    <t xml:space="preserve">Verified sources: firm help centers (helpfutures.fundednext.com, help.myfundedfutures.com, apextraderfunding.com, help.topstep.com), PickAPropFirm live table (re-synced 15-min, verified vs firm sites), tradecovex, damnpropfirms, proptradingvibes (Aug 2026). "—verify" (BluSky/Legends/Day Traders consistency) = not yet confirmed from a primary source; all E8/The5ers/Tradeify/FundedNext/MFF cells now verified from official help centers.</t>
  </si>
  <si>
    <t xml:space="preserve">Patterns: EOD trailing is now the default funded DD (MFF Rapid EOD, FundedNext, Tradeify, Lucid all market "stays EOD"). Daily cadence pairs with tight caps. $0 activation is standard except Apex/Topstep/Bulenox/Day Traders. Only Phidias offers overnight + direct-to-real-live.</t>
  </si>
  <si>
    <t xml:space="preserve">Our Firm — Recommended Competitive Plans</t>
  </si>
  <si>
    <t xml:space="preserve">Priced at the market floor, engineered to stay profitable via LOW firm $/funded (payout cap + funded consistency + cadence). Green = modeled. Blue = editable. Black = formula.</t>
  </si>
  <si>
    <t xml:space="preserve">Shared cost inputs (edit):</t>
  </si>
  <si>
    <t xml:space="preserve">Affiliate % of price</t>
  </si>
  <si>
    <t xml:space="preserve">Fixed ads / buyer ($)</t>
  </si>
  <si>
    <t xml:space="preserve">Serve / buyer ($, from Platform tab logic)</t>
  </si>
  <si>
    <t xml:space="preserve">Core EOD (eval)</t>
  </si>
  <si>
    <t xml:space="preserve">Rapid Daily (eval)</t>
  </si>
  <si>
    <t xml:space="preserve">Direct (instant)</t>
  </si>
  <si>
    <t xml:space="preserve">PRICING &amp; MARKET POSITION</t>
  </si>
  <si>
    <t xml:space="preserve">List price 50K ($)</t>
  </si>
  <si>
    <t xml:space="preserve">Typical discount</t>
  </si>
  <si>
    <t xml:space="preserve">Effective (floor) price 50K ($)</t>
  </si>
  <si>
    <t xml:space="preserve">Structure</t>
  </si>
  <si>
    <t xml:space="preserve">Eval, no activation</t>
  </si>
  <si>
    <t xml:space="preserve">Instant funding</t>
  </si>
  <si>
    <t xml:space="preserve">Market floor at 50K (reference)</t>
  </si>
  <si>
    <t xml:space="preserve">$59-90 (TradeDay/Apex/MFF/Lucid)</t>
  </si>
  <si>
    <t xml:space="preserve">$79-114 (MFF/TradeDay Rapid/daily)</t>
  </si>
  <si>
    <t xml:space="preserve">$295-364 (Lightning/Direct D2F)</t>
  </si>
  <si>
    <t xml:space="preserve">OUR RULES — EVALUATION</t>
  </si>
  <si>
    <t xml:space="preserve">Eval drawdown</t>
  </si>
  <si>
    <t xml:space="preserve">Trail EOD 5%</t>
  </si>
  <si>
    <t xml:space="preserve">- (instant)</t>
  </si>
  <si>
    <t xml:space="preserve">Eval profit target</t>
  </si>
  <si>
    <t xml:space="preserve">6% ($3,000)</t>
  </si>
  <si>
    <t xml:space="preserve">-</t>
  </si>
  <si>
    <t xml:space="preserve">Eval consistency</t>
  </si>
  <si>
    <t xml:space="preserve">Eval min days</t>
  </si>
  <si>
    <t xml:space="preserve">OUR RULES — FUNDED (the liability controls)</t>
  </si>
  <si>
    <t xml:space="preserve">Funded drawdown</t>
  </si>
  <si>
    <t xml:space="preserve">Funded consistency</t>
  </si>
  <si>
    <t xml:space="preserve">Min days to first payout</t>
  </si>
  <si>
    <t xml:space="preserve">Winning days + $/day (50K)</t>
  </si>
  <si>
    <t xml:space="preserve">5 days, $150</t>
  </si>
  <si>
    <t xml:space="preserve">Payout buffer (50K)</t>
  </si>
  <si>
    <t xml:space="preserve">Payout cap per request (50K)</t>
  </si>
  <si>
    <t xml:space="preserve">Pay gap (days between payouts)</t>
  </si>
  <si>
    <t xml:space="preserve">1 (daily)</t>
  </si>
  <si>
    <t xml:space="preserve">Payout processing</t>
  </si>
  <si>
    <t xml:space="preserve">INSTANT auto-approval; settles 2-3 biz days via Rise</t>
  </si>
  <si>
    <t xml:space="preserve">Profit split</t>
  </si>
  <si>
    <t xml:space="preserve">90/9</t>
  </si>
  <si>
    <t xml:space="preserve">Max funded accounts</t>
  </si>
  <si>
    <t xml:space="preserve">MODELED OUTCOMES (Monte Carlo)</t>
  </si>
  <si>
    <t xml:space="preserve">Eval pass rate</t>
  </si>
  <si>
    <t xml:space="preserve">Funded -&gt; payout rate</t>
  </si>
  <si>
    <t xml:space="preserve">Firm $/funded (50K)</t>
  </si>
  <si>
    <t xml:space="preserve">PER-BUYER ECONOMICS (live)</t>
  </si>
  <si>
    <t xml:space="preserve">Revenue / buyer</t>
  </si>
  <si>
    <t xml:space="preserve">Payout liability / buyer</t>
  </si>
  <si>
    <t xml:space="preserve">Affiliate CAC + ads</t>
  </si>
  <si>
    <t xml:space="preserve">Cost to serve</t>
  </si>
  <si>
    <t xml:space="preserve">CONTRIBUTION / buyer</t>
  </si>
  <si>
    <t xml:space="preserve">Contribution margin</t>
  </si>
  <si>
    <t xml:space="preserve">DESIGN LOGIC: attractive, loose EVALUATION (low/no eval consistency, EOD drawdown, low min days) to WIN customers on rules + price — then keep the FUNDED phase liability low (payout cap + funded consistency + a sensible pay gap) so firm $/funded stays ~$200-850 instead of $2,000-5,000.</t>
  </si>
  <si>
    <t xml:space="preserve">Core EOD: our flagship. Priced ~$79-99 all-in to sit in the $59-90 floor, no activation, EOD drawdown, no eval consistency (very attractive), 30% funded consistency + $1,500 cap + 5-day cadence keep liability low.</t>
  </si>
  <si>
    <t xml:space="preserve">Rapid Daily: matches the daily-payout trend (TradeDay/MFF Rapid). Daily pay gap is a magnet, so we tighten funded consistency to 40% + a $1,000 cap to stop the daily cadence bleeding cash.</t>
  </si>
  <si>
    <t xml:space="preserve">Direct (instant): competes with Tradeify Lightning / Lucid Direct. Every buyer is funded, so the tightest funded rules (25% consistency, $1,500 cap, 5-day gap) are essential — this is the highest-margin product when rules are right.</t>
  </si>
  <si>
    <t xml:space="preserve">PAYOUT POLICY (all plans): caps are STANDARD on every Merit plan — the 2026 industry norm — and they are precisely what make INSTANT AUTO-APPROVAL safe: eligibility (cap, buffer, consistency, win days, gap) is computed mechanically at request time, so approval is instant with zero human gate, and settlement runs 2-3 business days via Rise. Market it exactly as implemented: "instant approval, paid in 2-3 business days."</t>
  </si>
  <si>
    <t xml:space="preserve">THE RULE: you can match anyone on price and eval-rule attractiveness IF the funded phase is engineered for low liability. Loose eval = marketing. Tight funded = survival. Never loosen both.</t>
  </si>
  <si>
    <t xml:space="preserve">Modeled pass / funded-&gt;pay / firm $/funded are Monte-Carlo estimates; the margins are directional. Re-run mc_lifecycle.py after changing any rule to see the new liability and profitability.</t>
  </si>
  <si>
    <t xml:space="preserve">Firm Model — Every Plan Run Through the Model</t>
  </si>
  <si>
    <t xml:space="preserve">Each real plan simulated end-to-end, then costed per buyer. Shows how each firm stays solvent. Green = modeled (Monte Carlo). Black = live formula. Blue = shared cost inputs.</t>
  </si>
  <si>
    <t xml:space="preserve">Serve / buyer ($)</t>
  </si>
  <si>
    <t xml:space="preserve">Funded trade-through</t>
  </si>
  <si>
    <t xml:space="preserve">Eff. price</t>
  </si>
  <si>
    <t xml:space="preserve">Eval pass</t>
  </si>
  <si>
    <t xml:space="preserve">Funded-&gt;pay</t>
  </si>
  <si>
    <t xml:space="preserve">Firm $/funded</t>
  </si>
  <si>
    <t xml:space="preserve">Revenue/buyer</t>
  </si>
  <si>
    <t xml:space="preserve">Liab./buyer</t>
  </si>
  <si>
    <t xml:space="preserve">Contrib./buyer</t>
  </si>
  <si>
    <t xml:space="preserve">Margin</t>
  </si>
  <si>
    <t xml:space="preserve">Eval+Activation</t>
  </si>
  <si>
    <t xml:space="preserve">Standard</t>
  </si>
  <si>
    <t xml:space="preserve">Subscription</t>
  </si>
  <si>
    <t xml:space="preserve">Consistency</t>
  </si>
  <si>
    <t xml:space="preserve">Take Profit Trader</t>
  </si>
  <si>
    <t xml:space="preserve">PRO</t>
  </si>
  <si>
    <t xml:space="preserve">Expert</t>
  </si>
  <si>
    <t xml:space="preserve">Select</t>
  </si>
  <si>
    <t xml:space="preserve">Lightning</t>
  </si>
  <si>
    <t xml:space="preserve">Quick Pay</t>
  </si>
  <si>
    <t xml:space="preserve">Fast Pass</t>
  </si>
  <si>
    <t xml:space="preserve">S2F PRO</t>
  </si>
  <si>
    <t xml:space="preserve">LucidPro</t>
  </si>
  <si>
    <t xml:space="preserve">LucidFlex</t>
  </si>
  <si>
    <t xml:space="preserve">LucidDirect</t>
  </si>
  <si>
    <t xml:space="preserve">Rapid EOD</t>
  </si>
  <si>
    <t xml:space="preserve">Sub + activation</t>
  </si>
  <si>
    <t xml:space="preserve">Eval + activation</t>
  </si>
  <si>
    <t xml:space="preserve">Eff. price (blue) = list x typical blended discount (not the 90%-off holiday floor — that is a minority of buyers). Override to test any promo. Revenue/buyer = eff price x lifetime purchases + activation (passers only).</t>
  </si>
  <si>
    <t xml:space="preserve">Liability/buyer = funded rate x firm $/funded. For instant plans funded rate = 100%, so the FULL firm $/funded hits every buyer — which is why instant plans run the tightest funded rules (lowest firm $/funded).</t>
  </si>
  <si>
    <t xml:space="preserve">THE SIGNAL IS THE firm $/funded COLUMN. It ranges ~$350 (Tradeify Lightning, tight instant) to ~$5,200 (LucidFlex, uncapped) — a 15x spread set entirely by funded-rule design (caps, consistency, buffer, split).</t>
  </si>
  <si>
    <t xml:space="preserve">ENGINE v2 realism corrections: (1) 10% payout-denial rate (rule violations at request time); (2) post-payout risk-up x1.5 (house-money effect kills accounts faster after extraction — matches real post-payout floors); (3) 85% funded trade-through (passers who never activate). Together these pull uncapped-plan liability toward the real FPFX anchor (~$4k gross per payer).</t>
  </si>
  <si>
    <t xml:space="preserve">Real firms turn thin per-buyer economics into profit through VOLUME (millions of accounts), REBUYS (short eval windows), ACTIVATION fees (Apex), and ACCOUNT STACKING (Apex 20). This tab isolates one buyer; the Firm Economics tab scales it.</t>
  </si>
  <si>
    <t xml:space="preserve">Modeled pass / funded-&gt;pay / firm $/funded are Monte-Carlo estimates calibrated to public aggregates (eval ~15%, funded-&gt;pay ~48%, overall ~7%). Treat absolutes as directional; the RELATIVE spread between plans is the signal.</t>
  </si>
  <si>
    <t xml:space="preserve">Payout Reality Check — Real On-Chain Data (7 days)</t>
  </si>
  <si>
    <t xml:space="preserve">Blockchain-verified futures-firm payouts from payoutjunction.com/7d (Aug 11 2026). On-chain only = a FLOOR; firms also pay via bank/other. Validates the model.</t>
  </si>
  <si>
    <t xml:space="preserve">Firm (futures)</t>
  </si>
  <si>
    <t xml:space="preserve">7-day payouts</t>
  </si>
  <si>
    <t xml:space="preserve">Count</t>
  </si>
  <si>
    <t xml:space="preserve">Avg payout</t>
  </si>
  <si>
    <t xml:space="preserve">Largest</t>
  </si>
  <si>
    <t xml:space="preserve">Annualized (x52, floor)</t>
  </si>
  <si>
    <t xml:space="preserve">FundedFuturesFamily</t>
  </si>
  <si>
    <t xml:space="preserve">FuturesElite</t>
  </si>
  <si>
    <t xml:space="preserve">TopOneFutures</t>
  </si>
  <si>
    <t xml:space="preserve">GoatFundedFutures</t>
  </si>
  <si>
    <t xml:space="preserve">AlphaFutures</t>
  </si>
  <si>
    <t xml:space="preserve">TopOneTrader</t>
  </si>
  <si>
    <t xml:space="preserve">Elite Trader Funding</t>
  </si>
  <si>
    <t xml:space="preserve">AquaFutures</t>
  </si>
  <si>
    <t xml:space="preserve">TOTAL / blended</t>
  </si>
  <si>
    <t xml:space="preserve">Blended average payout across these futures firms computes in D16 — it lands around $1,600, squarely inside the model's ~$1,700/payout (50K) assumption. The model is calibrated to reality.</t>
  </si>
  <si>
    <t xml:space="preserve">The tail is real: MyFundedFutures shows a single $109,654 payout and Tradeify a $28,118 one in a single week — exactly the correlated/large-winner spike the reserve model sizes for.</t>
  </si>
  <si>
    <t xml:space="preserve">Tradeify moved ~$10M in 7 days on-chain alone (a floor). Payout volume of this scale is only survivable when fee revenue from the ~85% who fail dwarfs it — which is the whole business model.</t>
  </si>
  <si>
    <t xml:space="preserve">CAVEAT: on-chain (Rise/crypto) captures only part of total payouts, and some wallet flows may be operational, not trader payouts. Treat counts and AVERAGES as the reliable signal; totals as directional floors.</t>
  </si>
  <si>
    <t xml:space="preserve">Source: payoutjunction.com/7d, blockchain-verified, retrieved Aug 11 2026. Apex (not on this tracker) separately reports ~$15.4M/mo avg payouts, $598M since 2022 (quantvps).</t>
  </si>
  <si>
    <t xml:space="preserve">Evaluation Pass-Rate Model — Monte Carlo (MODELED)</t>
  </si>
  <si>
    <t xml:space="preserve">60,000 simulated traders per row. Failure columns = share of the whole population. Estimates, not guarantees.</t>
  </si>
  <si>
    <t xml:space="preserve">BASELINE eval (5% EOD-trail, 2% daily loss, 50% consistency, 6% target, 2 min days)</t>
  </si>
  <si>
    <t xml:space="preserve">Scenario</t>
  </si>
  <si>
    <t xml:space="preserve">Pass rate</t>
  </si>
  <si>
    <t xml:space="preserve">Fail:DailyLoss</t>
  </si>
  <si>
    <t xml:space="preserve">Fail:MaxDD</t>
  </si>
  <si>
    <t xml:space="preserve">Fail:Consistency</t>
  </si>
  <si>
    <t xml:space="preserve">Fail:Time</t>
  </si>
  <si>
    <t xml:space="preserve">Baseline</t>
  </si>
  <si>
    <t xml:space="preserve">~70% of the population fails on the daily-loss limit — matches the real ~71% Phase-1 stat.</t>
  </si>
  <si>
    <t xml:space="preserve">DRAWDOWN TYPE (size held 5%)</t>
  </si>
  <si>
    <t xml:space="preserve">Trailing (EOD)</t>
  </si>
  <si>
    <t xml:space="preserve">Trailing (intraday)</t>
  </si>
  <si>
    <t xml:space="preserve">Static is most passable and shifts failures off drawdown onto the daily-loss limit.</t>
  </si>
  <si>
    <t xml:space="preserve">MAX DRAWDOWN SIZE</t>
  </si>
  <si>
    <t xml:space="preserve">3%</t>
  </si>
  <si>
    <t xml:space="preserve">5%</t>
  </si>
  <si>
    <t xml:space="preserve">8%</t>
  </si>
  <si>
    <t xml:space="preserve">10%</t>
  </si>
  <si>
    <t xml:space="preserve">DAILY LOSS LIMIT</t>
  </si>
  <si>
    <t xml:space="preserve">2%</t>
  </si>
  <si>
    <t xml:space="preserve">The single biggest eval pass-rate lever.</t>
  </si>
  <si>
    <t xml:space="preserve">CONSISTENCY (eval)</t>
  </si>
  <si>
    <t xml:space="preserve">MIN TRADING DAYS (eval)</t>
  </si>
  <si>
    <t xml:space="preserve">0 days</t>
  </si>
  <si>
    <t xml:space="preserve">1 days</t>
  </si>
  <si>
    <t xml:space="preserve">2 days</t>
  </si>
  <si>
    <t xml:space="preserve">5 days</t>
  </si>
  <si>
    <t xml:space="preserve">Higher minimums cut pass rate by forcing more exposure days before a trader can lock the target.</t>
  </si>
  <si>
    <t xml:space="preserve">PROFIT TARGET</t>
  </si>
  <si>
    <t xml:space="preserve">6%</t>
  </si>
  <si>
    <t xml:space="preserve">A weaker lever — traders fail on risk breaches long before target size bites.</t>
  </si>
  <si>
    <t xml:space="preserve">Funded-Phase Model — Monte Carlo (MODELED)</t>
  </si>
  <si>
    <t xml:space="preserve">Of eval-passers, who ever draws cash and how much. "Firm $/funded" (per $50K acct) = your payout liability per funded trader.</t>
  </si>
  <si>
    <t xml:space="preserve">BASELINE funded (5% EOD-trail, 50% consistency, 5 min days, 5 winning days $150+, DD+$100 buffer, $2k cap, 6 payouts, 90/10)</t>
  </si>
  <si>
    <t xml:space="preserve">Funded-&gt;payout</t>
  </si>
  <si>
    <t xml:space="preserve">Avg payouts/payer</t>
  </si>
  <si>
    <t xml:space="preserve">Avg payout $/50K</t>
  </si>
  <si>
    <t xml:space="preserve">Firm $/funded is the key economic number — reached-rate x #payouts x payout size x split, all in one.</t>
  </si>
  <si>
    <t xml:space="preserve">FUNDED DRAWDOWN TYPE</t>
  </si>
  <si>
    <t xml:space="preserve">Intraday trailing in funded is harshest (why TPT PRO accounts blow up in week 1). Static leaks the most cash.</t>
  </si>
  <si>
    <t xml:space="preserve">FUNDED DRAWDOWN SIZE</t>
  </si>
  <si>
    <t xml:space="preserve">Tighter funded DD cuts BOTH payout rate and firm liability sharply.</t>
  </si>
  <si>
    <t xml:space="preserve">FUNDED CONSISTENCY RULE</t>
  </si>
  <si>
    <t xml:space="preserve">A major liability throttle: 20% consistency roughly halves reached-rate AND cuts firm $/funded by ~70% vs none.</t>
  </si>
  <si>
    <t xml:space="preserve">MIN TRADING DAYS -&gt; PAYOUT</t>
  </si>
  <si>
    <t xml:space="preserve">3 days</t>
  </si>
  <si>
    <t xml:space="preserve">Barely moves reached-rate — a weak lever on its own. Mostly delays, not prevents, payouts.</t>
  </si>
  <si>
    <t xml:space="preserve">WINNING-DAY REQUIREMENT</t>
  </si>
  <si>
    <t xml:space="preserve">0 win-days</t>
  </si>
  <si>
    <t xml:space="preserve">3 win-days</t>
  </si>
  <si>
    <t xml:space="preserve">5 win-days</t>
  </si>
  <si>
    <t xml:space="preserve">8 win-days</t>
  </si>
  <si>
    <t xml:space="preserve">Throttles payout FREQUENCY (and firm cost) more than reached-rate — forces the grind.</t>
  </si>
  <si>
    <t xml:space="preserve">REQUIRED PROFIT/DAY TO COUNT A FUNDED DAY ($/50K)</t>
  </si>
  <si>
    <t xml:space="preserve">$0 (any green day)</t>
  </si>
  <si>
    <t xml:space="preserve">$75/50k</t>
  </si>
  <si>
    <t xml:space="preserve">$150/50k</t>
  </si>
  <si>
    <t xml:space="preserve">$300/50k</t>
  </si>
  <si>
    <t xml:space="preserve">The "qualifying-day" dollar floor (real: Apex $250/Topstep $150/Tradeify $150 on 50K). A soft lever — raises the bar per day, mildly trimming payout frequency and firm cost.</t>
  </si>
  <si>
    <t xml:space="preserve">PAYOUT BUFFER / SAFETY NET</t>
  </si>
  <si>
    <t xml:space="preserve">Half DD</t>
  </si>
  <si>
    <t xml:space="preserve">DD+$100</t>
  </si>
  <si>
    <t xml:space="preserve">2x DD</t>
  </si>
  <si>
    <t xml:space="preserve">Bigger buffer modestly lowers reached-rate and firm cost — it is profit the trader can never withdraw.</t>
  </si>
  <si>
    <t xml:space="preserve">PER-REQUEST PAYOUT CAP</t>
  </si>
  <si>
    <t xml:space="preserve">No cap</t>
  </si>
  <si>
    <t xml:space="preserve">$1k/50k</t>
  </si>
  <si>
    <t xml:space="preserve">$2k/50k</t>
  </si>
  <si>
    <t xml:space="preserve">$5k/50k</t>
  </si>
  <si>
    <t xml:space="preserve">Pure liability throttle: reached-rate is flat, but firm $/funded scales directly with the cap. The cleanest cash-flow control.</t>
  </si>
  <si>
    <t xml:space="preserve">PROFIT SPLIT</t>
  </si>
  <si>
    <t xml:space="preserve">100% (Apex PA)</t>
  </si>
  <si>
    <t xml:space="preserve">Directly scales firm cash outflow (100% pays out most, 80/20 least).</t>
  </si>
  <si>
    <t xml:space="preserve">Platform, Data &amp; Routing Costs (2026)</t>
  </si>
  <si>
    <t xml:space="preserve">The real infra stack: a fixed white-label PLATFORM licence + PER-ACCOUNT routing &amp; data. Firms pay these on every live account (eval + funded).</t>
  </si>
  <si>
    <t xml:space="preserve">PROVIDER REFERENCE (2026, sourced)</t>
  </si>
  <si>
    <t xml:space="preserve">Provider / item</t>
  </si>
  <si>
    <t xml:space="preserve">Cost</t>
  </si>
  <si>
    <t xml:space="preserve">Notes &amp; source</t>
  </si>
  <si>
    <t xml:space="preserve">-- WHITE-LABEL PLATFORM (fixed firm cost) --</t>
  </si>
  <si>
    <t xml:space="preserve">Whitelabel — upfront (insider)</t>
  </si>
  <si>
    <t xml:space="preserve">$30-40k setup</t>
  </si>
  <si>
    <t xml:space="preserve">Ex-FTT risk/tech insider (Jul 2025): whitelabel launch cost. At SCALE a top firm pays ~$150k/MO whitelabel — per-account fees compound. Apex's vendor reportedly made ~$70M.</t>
  </si>
  <si>
    <t xml:space="preserve">Own tech build (insider)</t>
  </si>
  <si>
    <t xml:space="preserve">~$200k</t>
  </si>
  <si>
    <t xml:space="preserve">Same source: custom dashboard/risk/reset stack ~$200k (claims 4-8 wk build). Firms that OWN tech (FuturesElite, MFFU) are picked as long-term winners; whitelabel dependency helped kill Thrive.</t>
  </si>
  <si>
    <t xml:space="preserve">-- DXTRADE XT QUOTE (ACTUAL, Aug 2026, sheet MKT-1204) --</t>
  </si>
  <si>
    <t xml:space="preserve">DXtrade XT — setup</t>
  </si>
  <si>
    <t xml:space="preserve">$12,000 one-time</t>
  </si>
  <si>
    <t xml:space="preserve">Charged in advance. Includes branded web+mobile UIs, full sim, risk/ops portal, auto-liquidation, CRM integration.</t>
  </si>
  <si>
    <t xml:space="preserve">DXtrade XT — platform</t>
  </si>
  <si>
    <t xml:space="preserve">$2,400/mo min (200 accts) + $12/addl</t>
  </si>
  <si>
    <t xml:space="preserve">Monthly fee paid in advance; additional accounts billed at month end.</t>
  </si>
  <si>
    <t xml:space="preserve">dxFeed integration</t>
  </si>
  <si>
    <t xml:space="preserve">$2,400/mo min (200 users) + $12/addl</t>
  </si>
  <si>
    <t xml:space="preserve">Separate line from the platform minimum — the real floor is $4,800/mo + AWS.</t>
  </si>
  <si>
    <t xml:space="preserve">DXtrade market data (per user/mo)</t>
  </si>
  <si>
    <t xml:space="preserve">L1 CME $1.86 / L1 all-4 $5.58</t>
  </si>
  <si>
    <t xml:space="preserve">L2 (depth/DOM): CME $14.52, all-4 $43.80. Futures traders expect the DOM -&gt; realistic tier is L2 CME.</t>
  </si>
  <si>
    <t xml:space="preserve">AWS hosting</t>
  </si>
  <si>
    <t xml:space="preserve">pass-through</t>
  </si>
  <si>
    <t xml:space="preserve">Invoiced to the firm at month end — budget $500-2,000/mo, get an estimate in writing.</t>
  </si>
  <si>
    <t xml:space="preserve">CHARGEABLE-USER TRAP</t>
  </si>
  <si>
    <t xml:space="preserve">active status, not logins</t>
  </si>
  <si>
    <t xml:space="preserve">Any client in ACTIVE status at any point in the month bills — regardless of logins or trading. Worse than Rithmic (logs-in-that-month). Auto-EXPIRE/terminate churned accounts or pay for zombies.</t>
  </si>
  <si>
    <t xml:space="preserve">Per-user comparison (marginal)</t>
  </si>
  <si>
    <t xml:space="preserve">DXtrade ~$38.50 vs Rithmic ~$48</t>
  </si>
  <si>
    <t xml:space="preserve">DXtrade L2 CME: $12+$12+$14.52 = $38.52. Rithmic CME-depth: $30+$18 = $48 ($40 with top-of-book only). DXtrade cheaper per user; Rithmic cheaper at SMALL scale (no $4,800 floor + $12k setup) and brings the ecosystem (NinjaTrader/Quantower/R|Trader + API) traders already use.</t>
  </si>
  <si>
    <t xml:space="preserve">Crossover math</t>
  </si>
  <si>
    <t xml:space="preserve">~250-300 active accts</t>
  </si>
  <si>
    <t xml:space="preserve">Below ~250 actives: Rithmic-native wins (pay-per-user, no setup, trader-preferred platforms). Above ~300: DXtrade wins on raw cost. Decision: launch Rithmic-native, revisit DXtrade at scale or negotiate the floor/setup down now (it is a limited-time offer = negotiable).</t>
  </si>
  <si>
    <t xml:space="preserve">ProjectX (Sims2Funded)</t>
  </si>
  <si>
    <t xml:space="preserve">firm licence</t>
  </si>
  <si>
    <t xml:space="preserve">Browser white-label front-end on Rithmic; bundles costs so firms keep eval prices low. (fortraders, proptradingvibes 2026)</t>
  </si>
  <si>
    <t xml:space="preserve">PropForge / Tradovate Prop / FPFX</t>
  </si>
  <si>
    <t xml:space="preserve">flat/mo + per-acct</t>
  </si>
  <si>
    <t xml:space="preserve">Turnkey prop-tech; flat monthly plus per-account. In-house build = $1M+/12-18mo. (earlier research)</t>
  </si>
  <si>
    <t xml:space="preserve">-- RITHMIC TPAP QUOTE (ACTUAL, Aug 11 2026, Merit Futures) --</t>
  </si>
  <si>
    <t xml:space="preserve">Rithmic software licence</t>
  </si>
  <si>
    <t xml:space="preserve">$30/user/mo</t>
  </si>
  <si>
    <t xml:space="preserve">Per Trader User ID that LOGS IN that month (inactive = $0). Admin IDs waived. (Rithmic Support quote)</t>
  </si>
  <si>
    <t xml:space="preserve">Rithmic — API / unapproved platform</t>
  </si>
  <si>
    <t xml:space="preserve">$100/user/mo</t>
  </si>
  <si>
    <t xml:space="preserve">If user logs in via R|API composite or unapproved 3rd-party software that month. Algo traders cost 3.3x — charge them accordingly.</t>
  </si>
  <si>
    <t xml:space="preserve">Volume discount ladder</t>
  </si>
  <si>
    <t xml:space="preserve">10-40% off</t>
  </si>
  <si>
    <t xml:space="preserve">After &gt;$100k fees in 4 consecutive months: 10% ($100-300k), 20% ($300-750k), 30% ($750k-1.5M), 40% (&gt;$1.5M). 60k users -&gt; effective &lt;$23/user.</t>
  </si>
  <si>
    <t xml:space="preserve">Private Order Plant</t>
  </si>
  <si>
    <t xml:space="preserve">$2,500/mo</t>
  </si>
  <si>
    <t xml:space="preserve">Only billed in months where software fees &lt; $100k.</t>
  </si>
  <si>
    <t xml:space="preserve">CME data — non-pro TOP OF BOOK</t>
  </si>
  <si>
    <t xml:space="preserve">$10/user/mo FLAT</t>
  </si>
  <si>
    <t xml:space="preserve">All CME Group exchanges included. The lean default for an NQ/ES firm.</t>
  </si>
  <si>
    <t xml:space="preserve">CME data — non-pro DEPTH</t>
  </si>
  <si>
    <t xml:space="preserve">$18/exch/mo (4-for-3)</t>
  </si>
  <si>
    <t xml:space="preserve">$54 covers all 4 CME exchanges. Multiplied by Max Session Count — SET IT TO 1.</t>
  </si>
  <si>
    <t xml:space="preserve">CME data — PRO / Admin IDs</t>
  </si>
  <si>
    <t xml:space="preserve">$137.50/exch/mo</t>
  </si>
  <si>
    <t xml:space="preserve">Admins are always pro-rated. Each end user self-certifies pro/non-pro.</t>
  </si>
  <si>
    <t xml:space="preserve">ENTITLEMENT HYGIENE</t>
  </si>
  <si>
    <t xml:space="preserve">critical</t>
  </si>
  <si>
    <t xml:space="preserve">Inactive User IDs keep billing data fees until you disable entitlements. Automate deactivation — this is real money leakage.</t>
  </si>
  <si>
    <t xml:space="preserve">CME TPAP approval</t>
  </si>
  <si>
    <t xml:space="preserve">required pre-launch</t>
  </si>
  <si>
    <t xml:space="preserve">CME must approve the firm before live data go-live: legal name, org type/domicile, company-domain contact email, website, go-live date.</t>
  </si>
  <si>
    <t xml:space="preserve">-- ROUTING / EXECUTION (per account) --</t>
  </si>
  <si>
    <t xml:space="preserve">Rithmic — connection</t>
  </si>
  <si>
    <t xml:space="preserve">$25/mo per User ID</t>
  </si>
  <si>
    <t xml:space="preserve">Flat, any volume. +$0.10/contract routing. (AMP Futures / faq 2026)</t>
  </si>
  <si>
    <t xml:space="preserve">Rithmic — API add-on</t>
  </si>
  <si>
    <t xml:space="preserve">+$100/mo</t>
  </si>
  <si>
    <t xml:space="preserve">For automated/API accounts -&gt; $125/mo total per ID. (AMP Futures 2026)</t>
  </si>
  <si>
    <t xml:space="preserve">Rithmic — data pass-through (Apex)</t>
  </si>
  <si>
    <t xml:space="preserve">$30-65/mo</t>
  </si>
  <si>
    <t xml:space="preserve">Apex passes the Rithmic data sub to traders on PA accounts. (damnpropfirms 2026)</t>
  </si>
  <si>
    <t xml:space="preserve">EdgeClear (Rithmic reseller)</t>
  </si>
  <si>
    <t xml:space="preserve">$20/mo + $0.10/ctr</t>
  </si>
  <si>
    <t xml:space="preserve">Among the lowest all-in Rithmic access. (edgeclear 2026)</t>
  </si>
  <si>
    <t xml:space="preserve">dxFeed</t>
  </si>
  <si>
    <t xml:space="preserve">~$19/mo (retail)</t>
  </si>
  <si>
    <t xml:space="preserve">Budget feed; bundled with DXtrade; non-pro discounted. (propfirmapp, bulltraders 2026)</t>
  </si>
  <si>
    <t xml:space="preserve">CQG</t>
  </si>
  <si>
    <t xml:space="preserve">per-exchange fees</t>
  </si>
  <si>
    <t xml:space="preserve">Oldest feed (since 1980); per-individual exchange fees. (cqg.com 2026)</t>
  </si>
  <si>
    <t xml:space="preserve">-- FRONT-END PLATFORM (often free / firm-provided) --</t>
  </si>
  <si>
    <t xml:space="preserve">NinjaTrader / Tradovate</t>
  </si>
  <si>
    <t xml:space="preserve">$0-99/mo</t>
  </si>
  <si>
    <t xml:space="preserve">Free tiers common; $99/mo cuts commissions. Firm often covers. (damnpropfirms 2026)</t>
  </si>
  <si>
    <t xml:space="preserve">Quantower / R|Trader Pro</t>
  </si>
  <si>
    <t xml:space="preserve">~$40 / free</t>
  </si>
  <si>
    <t xml:space="preserve">Quantower ~$40/mo; R|Trader Pro free. (damnpropfirms 2026)</t>
  </si>
  <si>
    <t xml:space="preserve">-- CME MARKET DATA (exchange; per account unless licensed) --</t>
  </si>
  <si>
    <t xml:space="preserve">CME data — NON-professional</t>
  </si>
  <si>
    <t xml:space="preserve">$15-25/exch/mo</t>
  </si>
  <si>
    <t xml:space="preserve">Per exchange bundle (Globex/CBOT/NYMEX/COMEX). (fortraders 2026)</t>
  </si>
  <si>
    <t xml:space="preserve">CME data — PROFESSIONAL</t>
  </si>
  <si>
    <t xml:space="preserve">$110-135/exch/mo</t>
  </si>
  <si>
    <t xml:space="preserve">Funded prop traders RECLASSIFIED PRO Mar 2026 — the biggest cost shock in the space. (traderssecondbrain, fortraders 2026)</t>
  </si>
  <si>
    <t xml:space="preserve">Exchange + clearing / contract</t>
  </si>
  <si>
    <t xml:space="preserve">$1.18/side E-mini</t>
  </si>
  <si>
    <t xml:space="preserve">~$0.37/side micro. LIVE flow only; SIM pays data+platform, not clearing. (damnpropfirms 2026)</t>
  </si>
  <si>
    <t xml:space="preserve">Enterprise redistributor licence</t>
  </si>
  <si>
    <t xml:space="preserve">flat $/mo (negotiated)</t>
  </si>
  <si>
    <t xml:space="preserve">At scale, one CME redistributor licence replaces per-account retail data rates.</t>
  </si>
  <si>
    <t xml:space="preserve">FIRM COST CALCULATOR (edit blue)</t>
  </si>
  <si>
    <t xml:space="preserve">FIXED — white-label platform licence</t>
  </si>
  <si>
    <t xml:space="preserve">Platform licence ($/mo)</t>
  </si>
  <si>
    <t xml:space="preserve">DXtrade from $5k/mo; PropForge/pass-through can be lower; 0 if you use a firm-provided/free stack.</t>
  </si>
  <si>
    <t xml:space="preserve">PER ACTIVE ACCOUNT / month</t>
  </si>
  <si>
    <t xml:space="preserve">Rithmic software ($/active acct/mo)</t>
  </si>
  <si>
    <t xml:space="preserve">ACTUAL QUOTE: $30/login-month ($100 for API users); volume ladder to &lt;$23 at scale.</t>
  </si>
  <si>
    <t xml:space="preserve">CME data ($/acct/mo)</t>
  </si>
  <si>
    <t xml:space="preserve">ACTUAL QUOTE: $10 flat top-of-book (all CME) or $18/exch depth (4-for-3 = $54). Pro $137.50/exch.</t>
  </si>
  <si>
    <t xml:space="preserve">Front-end platform ($/acct/mo)</t>
  </si>
  <si>
    <t xml:space="preserve">R|Trader Pro free; approved 3rd-party platforms keep the $30 rate.</t>
  </si>
  <si>
    <t xml:space="preserve">Gross infra / active acct / mo</t>
  </si>
  <si>
    <t xml:space="preserve">% of per-acct infra borne by FIRM</t>
  </si>
  <si>
    <t xml:space="preserve">Rest passed to trader (Apex $30-65/mo data + $85/mo PA fee). Set 100% if you absorb all.</t>
  </si>
  <si>
    <t xml:space="preserve">FIRM per-account infra / mo</t>
  </si>
  <si>
    <t xml:space="preserve">Avg active months / signup (eval+funded)</t>
  </si>
  <si>
    <t xml:space="preserve">Blended life of an account you pay to keep live. Failers churn fast; funded run longer.</t>
  </si>
  <si>
    <t xml:space="preserve">FIRM VARIABLE COST / SIGNUP ($)</t>
  </si>
  <si>
    <t xml:space="preserve">Two cost types: a FIXED white-label licence (DXtrade from $5k/mo) that feeds the Cost Stack infra line, and a PER-ACCOUNT routing+data cost that scales with live accounts.</t>
  </si>
  <si>
    <t xml:space="preserve">The March 2026 CME "Professional" reclassification of funded prop traders is the biggest shock in the space — per-exchange data jumped ~$12 -&gt; ~$110-135/mo. Firms responded by passing data to traders, holding enterprise licences, or limiting exchanges.</t>
  </si>
  <si>
    <t xml:space="preserve">SIM accounts still need live DATA + platform/routing, so the firm pays on EVERY active account whether or not the trader profits. Only real clearing/commission is avoided on SIM.</t>
  </si>
  <si>
    <t xml:space="preserve">At scale, per-account data flips to a fixed enterprise redistributor licence — move that portion into the FIXED licence line and drop the per-account data rate.</t>
  </si>
  <si>
    <t xml:space="preserve">This tab feeds Firm Economics (variable cost/signup) and Cost Stack (data+platform/funded). Edit blue cells to your negotiated stack and pass-through policy.</t>
  </si>
  <si>
    <t xml:space="preserve">Firm Economics — Live P&amp;L (edit blue cells)</t>
  </si>
  <si>
    <t xml:space="preserve">Driven by rule design: set eval pass % and firm $/funded from the model tabs. Simulated futures firm, monthly basis.</t>
  </si>
  <si>
    <t xml:space="preserve">INPUTS / LEVERS</t>
  </si>
  <si>
    <t xml:space="preserve">BREAK-EVEN &amp; PAYOUT RESERVE</t>
  </si>
  <si>
    <t xml:space="preserve">New challenge signups / month</t>
  </si>
  <si>
    <t xml:space="preserve">Contribution per signup</t>
  </si>
  <si>
    <t xml:space="preserve">Avg lifetime pre-funding revenue / signup ($)</t>
  </si>
  <si>
    <t xml:space="preserve">Break-even signups / month</t>
  </si>
  <si>
    <t xml:space="preserve">Reset revenue uplift (% of base)</t>
  </si>
  <si>
    <t xml:space="preserve">Add-on / activation uplift (% of base)</t>
  </si>
  <si>
    <t xml:space="preserve">Avg monthly payout obligation</t>
  </si>
  <si>
    <t xml:space="preserve">Eval pass rate  (from Eval Pass-Rate Model)</t>
  </si>
  <si>
    <t xml:space="preserve">Reserve: 3x rule (min buffer)</t>
  </si>
  <si>
    <t xml:space="preserve">Firm payout cost / funded trader ($, 50K)</t>
  </si>
  <si>
    <t xml:space="preserve">Marketing + affiliate (% of gross)</t>
  </si>
  <si>
    <t xml:space="preserve">Correlated-winner stress</t>
  </si>
  <si>
    <t xml:space="preserve">Fixed platform / data / staff ($/mo)</t>
  </si>
  <si>
    <t xml:space="preserve">Funded TRADERS at risk (distinct)</t>
  </si>
  <si>
    <t xml:space="preserve">Variable cost per signup ($) — from Platform &amp; Data Costs</t>
  </si>
  <si>
    <t xml:space="preserve">% hitting a big payout in same window</t>
  </si>
  <si>
    <t xml:space="preserve">Payment processing (% of gross)</t>
  </si>
  <si>
    <t xml:space="preserve">Big payout size ($)</t>
  </si>
  <si>
    <t xml:space="preserve">Max concurrent funded accts / trader</t>
  </si>
  <si>
    <t xml:space="preserve">Correlated-winner cash spike</t>
  </si>
  <si>
    <t xml:space="preserve">MONTHLY P&amp;L</t>
  </si>
  <si>
    <t xml:space="preserve">RESERVE TO HOLD (max of the two)</t>
  </si>
  <si>
    <t xml:space="preserve">Base fee revenue</t>
  </si>
  <si>
    <t xml:space="preserve">Reset revenue</t>
  </si>
  <si>
    <t xml:space="preserve">Add-on / activation revenue</t>
  </si>
  <si>
    <t xml:space="preserve">GROSS REVENUE</t>
  </si>
  <si>
    <t xml:space="preserve">Funded traders / month</t>
  </si>
  <si>
    <t xml:space="preserve">Payout cost (funded x firm $/funded)</t>
  </si>
  <si>
    <t xml:space="preserve">Marketing + affiliate</t>
  </si>
  <si>
    <t xml:space="preserve">Payment processing</t>
  </si>
  <si>
    <t xml:space="preserve">Variable cost</t>
  </si>
  <si>
    <t xml:space="preserve">Fixed platform / data / staff</t>
  </si>
  <si>
    <t xml:space="preserve">TOTAL COSTS</t>
  </si>
  <si>
    <t xml:space="preserve">NET PROFIT (monthly)</t>
  </si>
  <si>
    <t xml:space="preserve">Net margin</t>
  </si>
  <si>
    <t xml:space="preserve">NET PROFIT (annualised)</t>
  </si>
  <si>
    <t xml:space="preserve">Cost Stack — The Full Picture (what we were missing)</t>
  </si>
  <si>
    <t xml:space="preserve">Every real operating cost, not just payouts + marketing. Blue = editable. Reveals how thin the true margin is and where it goes.</t>
  </si>
  <si>
    <t xml:space="preserve">COST INPUTS (blue = edit)</t>
  </si>
  <si>
    <t xml:space="preserve">WHERE THE MONEY GOES (% of gross)</t>
  </si>
  <si>
    <t xml:space="preserve">Paid marketing (% of gross)</t>
  </si>
  <si>
    <t xml:space="preserve">Trader payouts</t>
  </si>
  <si>
    <t xml:space="preserve">Affiliate commissions (% of gross)</t>
  </si>
  <si>
    <t xml:space="preserve">Paid marketing</t>
  </si>
  <si>
    <t xml:space="preserve">Refunds &amp; chargebacks (% of gross)</t>
  </si>
  <si>
    <t xml:space="preserve">Affiliate</t>
  </si>
  <si>
    <t xml:space="preserve">Inbound payment processing (% of gross)</t>
  </si>
  <si>
    <t xml:space="preserve">Refunds &amp; chargebacks</t>
  </si>
  <si>
    <t xml:space="preserve">Payout processing fee (% of payouts)</t>
  </si>
  <si>
    <t xml:space="preserve">CME data + platform / funded acct / mo — from Platform &amp; Data Costs</t>
  </si>
  <si>
    <t xml:space="preserve">Trading infra / tech / dev ($/mo, excl. platform licence)</t>
  </si>
  <si>
    <t xml:space="preserve">CME data + platform</t>
  </si>
  <si>
    <t xml:space="preserve">Support &amp; risk staff ($/mo)</t>
  </si>
  <si>
    <t xml:space="preserve">Infra / tech</t>
  </si>
  <si>
    <t xml:space="preserve">Compliance &amp; legal ($/mo)</t>
  </si>
  <si>
    <t xml:space="preserve">Support &amp; risk</t>
  </si>
  <si>
    <t xml:space="preserve">Fraud / abuse loss (% of gross)</t>
  </si>
  <si>
    <t xml:space="preserve">Compliance &amp; legal</t>
  </si>
  <si>
    <t xml:space="preserve">Fraud / abuse</t>
  </si>
  <si>
    <t xml:space="preserve">MONTHLY COST BREAKDOWN</t>
  </si>
  <si>
    <t xml:space="preserve">NET MARGIN</t>
  </si>
  <si>
    <t xml:space="preserve">Gross revenue (from Economics)</t>
  </si>
  <si>
    <t xml:space="preserve">Trader payouts (from Economics)</t>
  </si>
  <si>
    <t xml:space="preserve">Marketing + affiliate is the largest line (35-45% of gross). Payouts are the second. Everything else is the "hidden stack".</t>
  </si>
  <si>
    <t xml:space="preserve">This is why margins are thin and volume is everything — and why a payout spike or a CAC increase can flip the firm to a loss.</t>
  </si>
  <si>
    <t xml:space="preserve">Affiliate commissions</t>
  </si>
  <si>
    <t xml:space="preserve">Inbound payment processing</t>
  </si>
  <si>
    <t xml:space="preserve">Payout processing fee</t>
  </si>
  <si>
    <t xml:space="preserve">CME data + platform (funded x rate)</t>
  </si>
  <si>
    <t xml:space="preserve">Trading infra / tech / dev + platform licence</t>
  </si>
  <si>
    <t xml:space="preserve">Support &amp; risk staff</t>
  </si>
  <si>
    <t xml:space="preserve">Fraud / abuse loss</t>
  </si>
  <si>
    <t xml:space="preserve">TOTAL COSTS (incl. payouts)</t>
  </si>
  <si>
    <t xml:space="preserve">Pricing Power — How Low Can You Price?</t>
  </si>
  <si>
    <t xml:space="preserve">Per-signup unit economics vs list price and discount depth. Finds the discount floor where a signup stops paying for itself.</t>
  </si>
  <si>
    <t xml:space="preserve">List price — 50K eval ($)</t>
  </si>
  <si>
    <t xml:space="preserve">Lifetime purchase multiple / signup</t>
  </si>
  <si>
    <t xml:space="preserve">Activation fee on pass — NOT discounted ($)</t>
  </si>
  <si>
    <t xml:space="preserve">Customer acquisition cost / signup ($)</t>
  </si>
  <si>
    <t xml:space="preserve">Cost to serve / signup ($)</t>
  </si>
  <si>
    <t xml:space="preserve">Eval pass rate (from Economics)</t>
  </si>
  <si>
    <t xml:space="preserve">Firm payout cost / funded (from Economics)</t>
  </si>
  <si>
    <t xml:space="preserve">PRICE FLOOR (per-signup break-even)</t>
  </si>
  <si>
    <t xml:space="preserve">Payout liability / signup (pass x firm$/funded)</t>
  </si>
  <si>
    <t xml:space="preserve">Activation revenue / signup (pass x fee)</t>
  </si>
  <si>
    <t xml:space="preserve">Min effective price to break even ($)</t>
  </si>
  <si>
    <t xml:space="preserve">Max discount off list before losing money</t>
  </si>
  <si>
    <t xml:space="preserve">DISCOUNT SENSITIVITY (per signup)</t>
  </si>
  <si>
    <t xml:space="preserve">Discount off list</t>
  </si>
  <si>
    <t xml:space="preserve">Effective price</t>
  </si>
  <si>
    <t xml:space="preserve">Revenue/signup</t>
  </si>
  <si>
    <t xml:space="preserve">Contribution/signup</t>
  </si>
  <si>
    <t xml:space="preserve">Revenue/signup = effective price x lifetime multiple + expected activation revenue. Costs = CAC + cost to serve + expected payout liability.</t>
  </si>
  <si>
    <t xml:space="preserve">The floor is where contribution hits zero. The three ways to discount deeper without losing money:</t>
  </si>
  <si>
    <t xml:space="preserve">  1) Raise the lifetime multiple — short eval windows + resets + many accounts mean each signup rebuys often (Apex 30-day expiry is a rebuy engine).</t>
  </si>
  <si>
    <t xml:space="preserve">  2) Keep a non-discounted activation fee — pure margin on every funded trader that promo codes cannot touch.</t>
  </si>
  <si>
    <t xml:space="preserve">  3) Lower firm$/funded via tighter funded rules (caps/consistency) — cuts the fixed payout liability that deep discounts cannot cover.</t>
  </si>
  <si>
    <t xml:space="preserve">Payout liability per signup is INDEPENDENT of entry price, so entry alone cannot fund it at deep discounts — that is the core constraint.</t>
  </si>
  <si>
    <t xml:space="preserve">Portfolio Risk Engine — Correlated Payout VaR &amp; Ruin Probability</t>
  </si>
  <si>
    <t xml:space="preserve">The firm is an insurance book: N funded traders with CORRELATED outcomes (copy trading, one-directional NQ days, news). Gaussian-copula Monte Carlo. Edit inputs in mc_lifecycle.py portfolio_risk() and re-run.</t>
  </si>
  <si>
    <t xml:space="preserve">INPUTS (baseline Merit scale)</t>
  </si>
  <si>
    <t xml:space="preserve">Signups / month</t>
  </si>
  <si>
    <t xml:space="preserve">Blended eval pass</t>
  </si>
  <si>
    <t xml:space="preserve">Avg funded life (months)</t>
  </si>
  <si>
    <t xml:space="preserve">Active funded stock</t>
  </si>
  <si>
    <t xml:space="preserve">P(payout | funded-month)</t>
  </si>
  <si>
    <t xml:space="preserve">Payout size mu/sd/cap ($)</t>
  </si>
  <si>
    <t xml:space="preserve">850 / 700 / 1500</t>
  </si>
  <si>
    <t xml:space="preserve">Cash per signup ($, haircut)</t>
  </si>
  <si>
    <t xml:space="preserve">Fixed opex / month ($)</t>
  </si>
  <si>
    <t xml:space="preserve">MONTHLY PAYOUT DISTRIBUTION BY CORRELATION (20,000 sims)</t>
  </si>
  <si>
    <t xml:space="preserve">Trader correlation rho</t>
  </si>
  <si>
    <t xml:space="preserve">Mean / mo</t>
  </si>
  <si>
    <t xml:space="preserve">St. dev</t>
  </si>
  <si>
    <t xml:space="preserve">VaR 95</t>
  </si>
  <si>
    <t xml:space="preserve">VaR 99</t>
  </si>
  <si>
    <t xml:space="preserve">CVaR 99 (tail avg)</t>
  </si>
  <si>
    <t xml:space="preserve">CVaR99 / mean</t>
  </si>
  <si>
    <t xml:space="preserve">rho = 0.05</t>
  </si>
  <si>
    <t xml:space="preserve">rho = 0.15</t>
  </si>
  <si>
    <t xml:space="preserve">rho = 0.3</t>
  </si>
  <si>
    <t xml:space="preserve">18-MONTH RUIN PROBABILITY (rho=0.30, 8,000 paths) — by starting capital &amp; regime</t>
  </si>
  <si>
    <t xml:space="preserve">$150k</t>
  </si>
  <si>
    <t xml:space="preserve">$250k</t>
  </si>
  <si>
    <t xml:space="preserve">$350k</t>
  </si>
  <si>
    <t xml:space="preserve">$500k</t>
  </si>
  <si>
    <t xml:space="preserve">$750k</t>
  </si>
  <si>
    <t xml:space="preserve">What it models</t>
  </si>
  <si>
    <t xml:space="preserve">base</t>
  </si>
  <si>
    <t xml:space="preserve">Normal operations, correlated months only</t>
  </si>
  <si>
    <t xml:space="preserve">rev_shock</t>
  </si>
  <si>
    <t xml:space="preserve">Fees -40% for months 7-12 (PSP freeze / sales slump)</t>
  </si>
  <si>
    <t xml:space="preserve">juice_wave</t>
  </si>
  <si>
    <t xml:space="preserve">Coordinated extraction: payout prob x1.5, severity x1.2, months 5-7</t>
  </si>
  <si>
    <t xml:space="preserve">combined</t>
  </si>
  <si>
    <t xml:space="preserve">Both at once — the FTT/Thrive death pattern</t>
  </si>
  <si>
    <t xml:space="preserve">SELECTION MATH — WHY THE BUSINESS WORKS (evals select noise, not skill)</t>
  </si>
  <si>
    <t xml:space="preserve">The base rate (literature)</t>
  </si>
  <si>
    <t xml:space="preserve">Chague/De-Losso/Giovannetti (N=19,646, Brazilian futures): 97% of PERSISTENT day traders lose net of fees; no learning effect (experience coefficient NEGATIVE). Taiwan 15-yr (Barber-Odean): &lt;1% persistently profitable. Durable edge in the population: ~1-3%.</t>
  </si>
  <si>
    <t xml:space="preserve">An eval is a weak classifier</t>
  </si>
  <si>
    <t xml:space="preserve">A Sharpe-1.0 trader separates from a Sharpe-0 trader by only d-prime = (1/sqrt(252)) x sqrt(10) = 0.20 sigma over a 10-day eval -&gt; classifier AUC = 55.6%. Barely better than a coin flip. Pass rate is a PRICE knob, not a QUALITY filter.</t>
  </si>
  <si>
    <t xml:space="preserve">Bayes: who is actually funded</t>
  </si>
  <si>
    <t xml:space="preserve">P(skilled)=2%, P(pass|skilled)=50%, P(pass|unskilled)=14% -&gt; blended pass 14.7% and P(skilled|FUNDED) = 6.8%. ~93% of your funded book has zero-or-negative true edge and will revert; the liability tail = the true 7% plus lucky streaks of the 93%.</t>
  </si>
  <si>
    <t xml:space="preserve">Design implications</t>
  </si>
  <si>
    <t xml:space="preserve">(1) Funded time-gates (win days, cadence, consistency) work because they let the 93% revert BEFORE cash leaves. (2) Live conversion exists to remove the true 7% from the sim book. (3) Rebuy revenue is durable because there is NO learning effect — failed traders do not come back stronger. All three pillars are now derived, not assumed.</t>
  </si>
  <si>
    <t xml:space="preserve">Day-one rho estimator</t>
  </si>
  <si>
    <t xml:space="preserve">Estimate trader correlation empirically from daily data: rho-hat = (Var over days of daily %-profitable minus pbar(1-pbar)/n) / (pbar(1-pbar)). Beta-binomial overdispersion — one spreadsheet column once live.</t>
  </si>
  <si>
    <t xml:space="preserve">t-copula tail stress</t>
  </si>
  <si>
    <t xml:space="preserve">Gaussian copulas have ZERO tail dependence (the 2008 error). A t-copula (nu=4) at rho=0.15 lifts CVaR99 by ~5% ($110k -&gt; $115k). Our conservative rho=0.30 Gaussian already dominates it — reserve rule stands.</t>
  </si>
  <si>
    <t xml:space="preserve">THE TAIL IS ALL CORRELATION: mean payouts (~$45k/mo) barely move with rho, but the 1-in-100 month nearly doubles ($79k at rho=0.05 -&gt; $125k at rho=0.30). Copy trading, stacked accounts, and one-directional NQ days ARE the risk — not average winner volume.</t>
  </si>
  <si>
    <t xml:space="preserve">RESERVE RULE (replaces "3x average"): hold &gt;= CVaR99 of monthly payouts, i.e. ~2.9x mean monthly payouts at rho=0.30. At baseline scale that is ~$135k of payout reserve, ring-fenced from opex.</t>
  </si>
  <si>
    <t xml:space="preserve">RUIN COMES FROM REGIMES, NOT MONTHS: no single bad month kills a funded book with positive drift. Death = a persistent regime (revenue shock + extraction wave together). $350k starting capital holds combined-stress ruin to ~0.2%; $150k runs 6%. The insider "$300-500k reserves" benchmark is DERIVED here from first principles.</t>
  </si>
  <si>
    <t xml:space="preserve">Scale note: funded stock and fees both grow 8%/mo in the paths; reserves must grow with the book. Re-run portfolio_risk() whenever plan caps, pass rates, or scale change.</t>
  </si>
  <si>
    <t xml:space="preserve">Risk Operations — Dashboard, Abuse Detection, Monitoring Statistics</t>
  </si>
  <si>
    <t xml:space="preserve">The operating layer that keeps the math true. FTT died blind; this is the sight system. No-denial brand = abuse is caught at DETECTION time, never at payout time.</t>
  </si>
  <si>
    <t xml:space="preserve">DAILY LIABILITY DASHBOARD (the FTT lesson — always visible)</t>
  </si>
  <si>
    <t xml:space="preserve">Formula</t>
  </si>
  <si>
    <t xml:space="preserve">Threshold / response</t>
  </si>
  <si>
    <t xml:space="preserve">Open Liability</t>
  </si>
  <si>
    <t xml:space="preserve">SUM(withdrawable balance) across ALL funded accounts, real time</t>
  </si>
  <si>
    <t xml:space="preserve">The number FTT never had. Red if &gt; payout reserve.</t>
  </si>
  <si>
    <t xml:space="preserve">Eligible-Next-7-Days</t>
  </si>
  <si>
    <t xml:space="preserve">SUM(withdrawable) over accounts clearing gates (win days, buffer, gap) within 7d</t>
  </si>
  <si>
    <t xml:space="preserve">Forecasts the request wave before it arrives.</t>
  </si>
  <si>
    <t xml:space="preserve">Reserve Coverage Ratio</t>
  </si>
  <si>
    <t xml:space="preserve">Payout reserve / CVaR99(monthly payouts) from Risk Engine</t>
  </si>
  <si>
    <t xml:space="preserve">&gt;= 1.0 required; &lt; 1.0 pauses marketing spend, not payouts.</t>
  </si>
  <si>
    <t xml:space="preserve">Plan Loss Ratio (30d)</t>
  </si>
  <si>
    <t xml:space="preserve">Payouts paid / fees collected, per plan, trailing 30 days</t>
  </si>
  <si>
    <t xml:space="preserve">Circuit breaker: &gt; 60% pauses NEW SALES of that plan (never touches existing traders).</t>
  </si>
  <si>
    <t xml:space="preserve">Payout Velocity</t>
  </si>
  <si>
    <t xml:space="preserve">$ requested per day vs 30-day average</t>
  </si>
  <si>
    <t xml:space="preserve">Spike &gt; 2.5x average = same-day investigation for coordination.</t>
  </si>
  <si>
    <t xml:space="preserve">Pass-Rate CUSUM</t>
  </si>
  <si>
    <t xml:space="preserve">S_t = max(0, S_(t-1) + (daily pass% - baseline - k)); k = 0.5 sigma</t>
  </si>
  <si>
    <t xml:space="preserve">Alarm at h = 4-5 sigma: a plan is being systematically beaten -&gt; inspect before the funded wave hits.</t>
  </si>
  <si>
    <t xml:space="preserve">ABUSE TAXONOMY &amp; DETECTION SIGNALS (2026 vendor-grade practice)</t>
  </si>
  <si>
    <t xml:space="preserve">Scheme</t>
  </si>
  <si>
    <t xml:space="preserve">Detection method</t>
  </si>
  <si>
    <t xml:space="preserve">No-risk hedge (the #1 signature)</t>
  </si>
  <si>
    <t xml:space="preserve">Account A profits ONLY when paired account B loses; long/short same size, same time, across accounts or sibling firms</t>
  </si>
  <si>
    <t xml:space="preserve">Correlation engine on position vectors; inverse P&amp;L correlation &lt; -0.8 between linked entities = ring</t>
  </si>
  <si>
    <t xml:space="preserve">Copy-trading ring</t>
  </si>
  <si>
    <t xml:space="preserve">Groups buy evals together, rotate who reaches payout; same-second fills, identical sequences across "unrelated" accounts</t>
  </si>
  <si>
    <t xml:space="preserve">Graph clustering on order timestamps + entity resolution (email/device/IP/payment); catches networks, not accounts</t>
  </si>
  <si>
    <t xml:space="preserve">Account fleet / multi-identity</t>
  </si>
  <si>
    <t xml:space="preserve">One person, 20-30 accounts under different names to beat max-account caps</t>
  </si>
  <si>
    <t xml:space="preserve">KYC + device fingerprint + behavioral biometrics; entity resolution BEFORE funding, not after</t>
  </si>
  <si>
    <t xml:space="preserve">News straddle</t>
  </si>
  <si>
    <t xml:space="preserve">Bracket orders seconds before Tier-1 releases (CPI/FOMC/NFP) exploiting sim fills</t>
  </si>
  <si>
    <t xml:space="preserve">Flag entries within +-N sec of calendar events; strategy-level (repeated), not single trades</t>
  </si>
  <si>
    <t xml:space="preserve">Latency / stale-quote arb</t>
  </si>
  <si>
    <t xml:space="preserve">Exploiting sim feed delay vs real market; toxic flow profile</t>
  </si>
  <si>
    <t xml:space="preserve">Fill-price vs NBBO deviation distribution; sub-second round trips at abnormal win rates</t>
  </si>
  <si>
    <t xml:space="preserve">Martingale eval-gaming</t>
  </si>
  <si>
    <t xml:space="preserve">Doubling size after losses to brute-force the eval (survivors become funded liabilities)</t>
  </si>
  <si>
    <t xml:space="preserve">Size-after-loss regression; strategy-level threshold (e.g. &gt;30% of sequence), context-aware to avoid false positives</t>
  </si>
  <si>
    <t xml:space="preserve">OPERATING PRINCIPLES</t>
  </si>
  <si>
    <t xml:space="preserve">Principle</t>
  </si>
  <si>
    <t xml:space="preserve">Practice</t>
  </si>
  <si>
    <t xml:space="preserve">Why</t>
  </si>
  <si>
    <t xml:space="preserve">Instant auto-approval + no denials</t>
  </si>
  <si>
    <t xml:space="preserve">Eligibility computed mechanically by the rules engine -&gt; approval is INSTANT and automatic; settlement 2-3 business days via Rise. Abuse handled at DETECTION time (warning/restriction/closure per ToS), never at request time. Caps bound the worst case of any auto-approved cycle.</t>
  </si>
  <si>
    <t xml:space="preserve">Every enforcement documented: trades, timestamps, rule version, approver. Evidence-grade or it did not happen.</t>
  </si>
  <si>
    <t xml:space="preserve">Two risk-event classes</t>
  </si>
  <si>
    <t xml:space="preserve">Mechanical breaches (drawdown/DLL) auto-enforce instantly; behavioral flags route to human review</t>
  </si>
  <si>
    <t xml:space="preserve">Never auto-punish behavior; blunt rules punish good traders and torch reviewer trust.</t>
  </si>
  <si>
    <t xml:space="preserve">Entitlement hygiene</t>
  </si>
  <si>
    <t xml:space="preserve">Auto-disable Rithmic User IDs + data entitlements on churn</t>
  </si>
  <si>
    <t xml:space="preserve">Direct cost control: inactive IDs bill until disabled (actual Rithmic quote).</t>
  </si>
  <si>
    <t xml:space="preserve">Weekly risk ritual</t>
  </si>
  <si>
    <t xml:space="preserve">Review: loss ratios by plan, CUSUM charts, top-20 open liabilities, flagged networks, reserve coverage</t>
  </si>
  <si>
    <t xml:space="preserve">Output = decisions: plan price/rule tweaks, sales pauses, graduations to live.</t>
  </si>
  <si>
    <t xml:space="preserve">Tooling</t>
  </si>
  <si>
    <t xml:space="preserve">Graph-based detection is a product category now: QuantSentry, propGuard, Axcera RiskGuard, Centroid PropShield; FPFX/platform native tools</t>
  </si>
  <si>
    <t xml:space="preserve">Buy detection, own the DECISION layer. Budget it in Cost Stack from day 1.</t>
  </si>
  <si>
    <t xml:space="preserve">RING RESISTANCE — hedged-pair economics vs ruleset (50K, the "existential threat" priced)</t>
  </si>
  <si>
    <t xml:space="preserve">Hedged-pair economics</t>
  </si>
  <si>
    <t xml:space="preserve">Verdict</t>
  </si>
  <si>
    <t xml:space="preserve">MFF Rapid EOD</t>
  </si>
  <si>
    <t xml:space="preserve">Pair cost $252 | ~7 days | take: UNCAPPED daily above $2,100 buffer | ring ~$270+/day, repeatable DAILY</t>
  </si>
  <si>
    <t xml:space="preserve">MAGNET — no funded consistency + no cap + daily cadence is exactly what rings hunt. Their 3-acct cap is the only brake.</t>
  </si>
  <si>
    <t xml:space="preserve">TPT PRO</t>
  </si>
  <si>
    <t xml:space="preserve">Pair cost $204 | ~6 days | take: uncapped above buffer, 50% penalty below</t>
  </si>
  <si>
    <t xml:space="preserve">EXPOSED — penalty route still yields fast extraction; daily cadence.</t>
  </si>
  <si>
    <t xml:space="preserve">Apex EOD</t>
  </si>
  <si>
    <t xml:space="preserve">Pair cost $238 | ~8 days | take $1,500 (100% split) but 50% funded consistency forces multi-day spread</t>
  </si>
  <si>
    <t xml:space="preserve">MODERATE — cap + consistency bound the prize and force time.</t>
  </si>
  <si>
    <t xml:space="preserve">MERIT Core EOD</t>
  </si>
  <si>
    <t xml:space="preserve">Pair cost $158 | ~7 days | take capped $1,350 (90%), then 5-day gap; 30% consistency + 5 win days at $150+ mean the market must cooperate MULTIPLE days — the hedge is no longer riskless</t>
  </si>
  <si>
    <t xml:space="preserve">RESISTANT — ring $/day ceiling ~$190, per-trader lifetime capped by 8-payout live ladder.</t>
  </si>
  <si>
    <t xml:space="preserve">MERIT Rapid Daily</t>
  </si>
  <si>
    <t xml:space="preserve">Pair cost $176 | daily cadence BUT $1,000 cap + 40% consistency</t>
  </si>
  <si>
    <t xml:space="preserve">RESISTANT — daily magnet marketing with a bounded daily prize.</t>
  </si>
  <si>
    <t xml:space="preserve">The defense stack</t>
  </si>
  <si>
    <t xml:space="preserve">Rules set the PRIZE CEILING (caps, consistency, gaps, ladders); detection (entity resolution, inverse-P&amp;L correlation, graph clustering) sets the CATCH RATE</t>
  </si>
  <si>
    <t xml:space="preserve">You need both: rules make rings unprofitable-per-day; detection makes them terminal. Neither alone suffices.</t>
  </si>
  <si>
    <t xml:space="preserve">Sources: Axcera (coordinated hedging ring described by a firm CEO as "existential threat"), QuantSentry/propGuard (graph-based network detection), fxproptech risk-engine spec (strategy-level vs isolated events), Rithmic quote (entitlement billing), FTT post-mortem (insider log).</t>
  </si>
  <si>
    <t xml:space="preserve">SIM -&gt; Live Conversion — How Firms Do It (2026)</t>
  </si>
  <si>
    <t xml:space="preserve">Live = real capital via an NFA-registered broker. It is a gated graduation used as a retention carrot AND a risk funnel. Reference + our design.</t>
  </si>
  <si>
    <t xml:space="preserve">HOW THE MAJORS RUN IT</t>
  </si>
  <si>
    <t xml:space="preserve">Trigger to go live</t>
  </si>
  <si>
    <t xml:space="preserve">Mechanics</t>
  </si>
  <si>
    <t xml:space="preserve">Invitation-only (discretionary)</t>
  </si>
  <si>
    <t xml:space="preserve">Separate live dept. Judges discipline, consistency, lifetime SIM payouts, speed. Drops to 1 live acct (max 5 by regulation vs 20 SIM), unlocks +1 per $4,500 live profit. SIM profit -&gt; Bonus Vault (20-40% bonus). 100% split, daily payouts, no consistency on live.</t>
  </si>
  <si>
    <t xml:space="preserve">Phidias (Express to Live)</t>
  </si>
  <si>
    <t xml:space="preserve">On FIRST payout</t>
  </si>
  <si>
    <t xml:space="preserve">Converts to real LIVE account with Dorman Trading (NFA broker). No per-payout cap, no 6-payout ceiling. 80/20 split, static drawdown, no consistency gate.</t>
  </si>
  <si>
    <t xml:space="preserve">Test -&gt; PRO (sim) -&gt; PRO+ (live)</t>
  </si>
  <si>
    <t xml:space="preserve">PRO+ is live on Tradovate execution, 90/10, EOD drawdown (vs PRO intraday). The intraday-DD PRO phase is where most accounts die ("easy to pass, hard to keep").</t>
  </si>
  <si>
    <t xml:space="preserve">Lucid (Live / LucidMaxx)</t>
  </si>
  <si>
    <t xml:space="preserve">Milestone; restructured Feb 2026</t>
  </si>
  <si>
    <t xml:space="preserve">$0 starting balance + EOD drawdown live model. One-time bonus = live target (doubles initial live capital at first target). Faster SIM-&gt;Live transition.</t>
  </si>
  <si>
    <t xml:space="preserve">30 winning days of consistency</t>
  </si>
  <si>
    <t xml:space="preserve">Moves proven traders to a live funded account after sustained consistency.</t>
  </si>
  <si>
    <t xml:space="preserve">Risk team clears you (no fixed timeframe)</t>
  </si>
  <si>
    <t xml:space="preserve">Express Funded (sim) -&gt; Live Funded Account when risk team judges readiness. Varies by trader.</t>
  </si>
  <si>
    <t xml:space="preserve">WHY LIVE EXISTS — IT IS A COST REDUCER (pure B-book firm)</t>
  </si>
  <si>
    <t xml:space="preserve">THE CORE ECONOMICS: every SIM payout is a direct treasury loss. A consistently profitable trader on SIM is an open-ended drain — they keep winning, you keep paying. Moving them to a REAL live account converts that drain into real market P&amp;L: their payouts are funded by actual gains, and your exposure collapses to the ONE-TIME allocated drawdown/initial balance.</t>
  </si>
  <si>
    <t xml:space="preserve">THEREFORE LIVE CAN BE UNRESTRICTED: daily payouts, no consistency, no caps, no winning-day gates — none of it costs you anything on live, because the market (not your treasury) pays the winner. Restrictions only protect you in SIM. This is exactly why Apex/MFF/Lucid live terms are BETTER than their sim terms (100% split, daily, no rules).</t>
  </si>
  <si>
    <t xml:space="preserve">THE GATE IS THE PRODUCT: graduate only proven winners (e.g. N payouts, $X lifetime SIM profit, or risk-team review). Each graduation caps that traders remaining lifetime cost at the allocated drawdown — the sim already models this via max_payouts (Apexs 6-payout ladder IS a live-conversion trigger).</t>
  </si>
  <si>
    <t xml:space="preserve">REAL COSTS OF LIVE (small but non-zero): margin capital posted at the FCM, clearing/commissions, and the regulatory perimeter (real execution = IB/FCM territory — see Legal &amp; Compliance). Launch SIM-only; add the live tier once volume justifies the FCM relationship.</t>
  </si>
  <si>
    <t xml:space="preserve">THE COUNTERARGUMENT (insider, Apr 2025): "When Topstep gives you 50k in live they are never seeing that 50k back — you need to make 500k for them to break even." At 90/10 the firm keeps 10%, so a live trader must produce ~10x the capital at risk before the firm share covers one blow-up. On live, LOSERS burn REAL cash (in SIM they cost nothing); winners only pay you your split. The live book standalone is -EV.</t>
  </si>
  <si>
    <t xml:space="preserve">RECONCILIATION: both are true. Live is near-zero MARGINAL cost for a PROVEN winner vs keeping them in SIM (bounded drawdown beats an open-ended treasury drain). But live is negative-EV for everyone else. Design implications: (1) gate ruthlessly — only traders whose expected future SIM payouts exceed the live drawdown; (2) allocate TIGHT live drawdowns, not nominal size; (3) treat live as retention/marketing + liability cap, NEVER a profit center. The traditional-prop alternative (pay traders 10-20% of profits, firm keeps the rest) is a different business requiring real desk economics.</t>
  </si>
  <si>
    <t xml:space="preserve">MARKETING BONUS: "path to real capital + unrestricted live payouts" is a premium trust signal (Phidias/Topstep/TPT lead with it) — the traders who reach it were your most expensive SIM liabilities anyway.</t>
  </si>
  <si>
    <t xml:space="preserve">Legal, Regulatory &amp; Entity — Risk Register (2026)</t>
  </si>
  <si>
    <t xml:space="preserve">NOT legal advice. A structured brief to take to qualified counsel. US futures-prop is unregulated TODAY but under active review.</t>
  </si>
  <si>
    <t xml:space="preserve">REGULATORY STATUS &amp; KEY DATES</t>
  </si>
  <si>
    <t xml:space="preserve">Item</t>
  </si>
  <si>
    <t xml:space="preserve">Date / status</t>
  </si>
  <si>
    <t xml:space="preserve">Detail &amp; source</t>
  </si>
  <si>
    <t xml:space="preserve">CFTC public consultation</t>
  </si>
  <si>
    <t xml:space="preserve">Closes 30 Nov 2026</t>
  </si>
  <si>
    <t xml:space="preserve">Deciding whether challenge-based evaluation programs fall under CFTC authority. Outcome may require NFA-member status for futures-prop + affiliates. (track360, CFTC)</t>
  </si>
  <si>
    <t xml:space="preserve">NFA Notice I-26-12</t>
  </si>
  <si>
    <t xml:space="preserve">Effect 1 Dec 2026</t>
  </si>
  <si>
    <t xml:space="preserve">Affiliate-marketing standards for NFA-member firms: approved disclosure language, no incentive-driven claims, quarterly creative audits.</t>
  </si>
  <si>
    <t xml:space="preserve">SEC enforcement</t>
  </si>
  <si>
    <t xml:space="preserve">Active 2026</t>
  </si>
  <si>
    <t xml:space="preserve">Actions vs 2 prop firms for MISREPRESENTING simulated-trading conditions. Marketing claims must be substantiable.</t>
  </si>
  <si>
    <t xml:space="preserve">MyForexFunds / Traders Global</t>
  </si>
  <si>
    <t xml:space="preserve">Dismissed w/ prejudice 13 May 2025</t>
  </si>
  <si>
    <t xml:space="preserve">CFTC fraud case dismissed and CFTC sanctioned — procedural win, NOT a blessing of the model. (theindustryspread)</t>
  </si>
  <si>
    <t xml:space="preserve">Current registration requirement</t>
  </si>
  <si>
    <t xml:space="preserve">None (as of 2026)</t>
  </si>
  <si>
    <t xml:space="preserve">Futures-prop firms not required to register with CFTC/NFA yet. Some register proactively for legitimacy. (proptradingvibes)</t>
  </si>
  <si>
    <t xml:space="preserve">RISK REGISTER (assess with counsel)</t>
  </si>
  <si>
    <t xml:space="preserve">Risk</t>
  </si>
  <si>
    <t xml:space="preserve">Severity</t>
  </si>
  <si>
    <t xml:space="preserve">Mitigation</t>
  </si>
  <si>
    <t xml:space="preserve">Challenge fees reclassified as commodity-pool / investment-contract interests</t>
  </si>
  <si>
    <t xml:space="preserve">HIGH</t>
  </si>
  <si>
    <t xml:space="preserve">Keep pure SIM (no customer funds, no real order routing on eval/funded-sim). Monitor CFTC outcome; be ready to register or restructure.</t>
  </si>
  <si>
    <t xml:space="preserve">Firm deemed a Commodity Trading Advisor (CTA)</t>
  </si>
  <si>
    <t xml:space="preserve">SIM structure = you trade only your own book; you are not advising on customer funds. Document this; avoid language implying you manage client capital.</t>
  </si>
  <si>
    <t xml:space="preserve">SIM misrepresentation (SEC/FTC)</t>
  </si>
  <si>
    <t xml:space="preserve">Disclose plainly that funded accounts are simulated and payouts come from firm treasury. Substantiate every pass-rate / payout claim. No "real capital" language on SIM.</t>
  </si>
  <si>
    <t xml:space="preserve">Live program triggers IB/FCM/market-access perimeter</t>
  </si>
  <si>
    <t xml:space="preserve">MED-HIGH</t>
  </si>
  <si>
    <t xml:space="preserve">Route live via an established NFA-registered FCM (Dorman, NinjaTrader Brokerage, Stage 5). Consider registration before scaling live. Launch SIM-only first.</t>
  </si>
  <si>
    <t xml:space="preserve">Affiliate marketing non-compliance (NFA I-26-12)</t>
  </si>
  <si>
    <t xml:space="preserve">MED</t>
  </si>
  <si>
    <t xml:space="preserve">Approved disclosure language in affiliate contracts, ban incentive-driven/638 exaggerated claims, quarterly creative audits.</t>
  </si>
  <si>
    <t xml:space="preserve">Serving US persons = biggest trip-wire</t>
  </si>
  <si>
    <t xml:space="preserve">Either build US-compliant structure around regulated futures, or geo-block + ToS-exclude restricted states/countries. Enforce at platform level, not just contract.</t>
  </si>
  <si>
    <t xml:space="preserve">High-risk payments / chargebacks / frozen funds</t>
  </si>
  <si>
    <t xml:space="preserve">Multi-PSP (TailoredPay/PaymentCloud), rolling reserves, MCC 6211. Keep a payout reserve separate from operating cash.</t>
  </si>
  <si>
    <t xml:space="preserve">Payout-reserve insolvency (correlated winners)</t>
  </si>
  <si>
    <t xml:space="preserve">Hold &gt;=3x avg monthly payout; model the correlated spike (see Cost Stack / Projection). This is the #1 cause of firm collapse.</t>
  </si>
  <si>
    <t xml:space="preserve">ENTITY STRUCTURE OPTIONS</t>
  </si>
  <si>
    <t xml:space="preserve">Ring-fence with separate vehicles: an operating/brand co, an IP-holding co, and a payout/treasury vehicle — so a claim against one does not reach the others.</t>
  </si>
  <si>
    <t xml:space="preserve">US-facing lean start: US LLC + robust ToS + geo-blocking of restricted states; position as a simulated-evaluation product, not a financial service. Offshore alone does NOT immunize if you actively solicit US persons.</t>
  </si>
  <si>
    <t xml:space="preserve">Offshore/licensed options if you take a regulated path later: Seychelles Securities Dealer, Mauritius Investment Dealer (GBC), or Labuan. Cost from a few thousand $ (lean offshore) to mid-five-figures (licensed).</t>
  </si>
  <si>
    <t xml:space="preserve">Before launch, have counsel draft: Terms of Service / trader agreement (defines the simulated relationship + disclaims real trading), Risk Disclosure, Privacy Policy, KYC/AML program, and affiliate agreement templates.</t>
  </si>
  <si>
    <t xml:space="preserve">NOT legal advice — verify everything with a qualified US futures/derivatives attorney before launch. Sources (2026): soveraglobal, dx.trade, track360, theindustryspread.</t>
  </si>
  <si>
    <t xml:space="preserve">18-Month Cash-Flow &amp; Treasury Projection</t>
  </si>
  <si>
    <t xml:space="preserve">Time-phased ramp with a PAYOUT LAG — the thing that actually bankrupts firms. Edit blue inputs. Payouts trail funding, so cash can go negative before it recovers.</t>
  </si>
  <si>
    <t xml:space="preserve">INPUTS</t>
  </si>
  <si>
    <t xml:space="preserve">Month-1 signups</t>
  </si>
  <si>
    <t xml:space="preserve">Payout lag curve (share of a cohorts lifetime payout by month after funding):</t>
  </si>
  <si>
    <t xml:space="preserve">Monthly signup growth</t>
  </si>
  <si>
    <t xml:space="preserve">Month +1</t>
  </si>
  <si>
    <t xml:space="preserve">Revenue / signup (lifetime, $)</t>
  </si>
  <si>
    <t xml:space="preserve">Month +2</t>
  </si>
  <si>
    <t xml:space="preserve">Month +3</t>
  </si>
  <si>
    <t xml:space="preserve">Marketing+affiliate (% of rev)</t>
  </si>
  <si>
    <t xml:space="preserve">Stress: correlated payout spike</t>
  </si>
  <si>
    <t xml:space="preserve">Fixed costs / month ($)</t>
  </si>
  <si>
    <t xml:space="preserve">Spike in month #</t>
  </si>
  <si>
    <t xml:space="preserve">Starting capital ($)</t>
  </si>
  <si>
    <t xml:space="preserve">Spike amount ($)</t>
  </si>
  <si>
    <t xml:space="preserve">Mo</t>
  </si>
  <si>
    <t xml:space="preserve">Signups</t>
  </si>
  <si>
    <t xml:space="preserve">Gross rev</t>
  </si>
  <si>
    <t xml:space="preserve">Funded add</t>
  </si>
  <si>
    <t xml:space="preserve">Payouts</t>
  </si>
  <si>
    <t xml:space="preserve">Marketing</t>
  </si>
  <si>
    <t xml:space="preserve">Fixed</t>
  </si>
  <si>
    <t xml:space="preserve">Net cash</t>
  </si>
  <si>
    <t xml:space="preserve">Cumulative cash</t>
  </si>
  <si>
    <t xml:space="preserve">Reserve req</t>
  </si>
  <si>
    <t xml:space="preserve">Solvent?</t>
  </si>
  <si>
    <t xml:space="preserve">The payout LAG is the point: a cohort funded in month m pays out mostly in months m+1..m+3, so early-ramp months look cash-positive then payouts catch up. Watch the Cumulative cash and Solvent? columns.</t>
  </si>
  <si>
    <t xml:space="preserve">"Solvent?": OK = cash covers the 3x reserve; THIN = positive but under-reserved (pause funding/scaling); INSOLVENT = cash negative (game over).</t>
  </si>
  <si>
    <t xml:space="preserve">Use the stress inputs to drop a correlated-winner spike into a chosen month and see if the bankroll survives it. This is the single most important test in the whole workbook.</t>
  </si>
  <si>
    <t xml:space="preserve">Lower firm $/funded (tighter funded rules) is the most powerful lever here — it shrinks every payout column at once. Pricing at the floor is only safe when this number is low.</t>
  </si>
  <si>
    <t xml:space="preserve">Launch Playbook — Tech, Vendors &amp; Go-to-Market</t>
  </si>
  <si>
    <t xml:space="preserve">The build-and-grow plan around the economics. SIM-only launch first; add gated live later.</t>
  </si>
  <si>
    <t xml:space="preserve">MASTER LAUNCH BUDGET (low -&gt; recommended)</t>
  </si>
  <si>
    <t xml:space="preserve">Entity &amp; brand</t>
  </si>
  <si>
    <t xml:space="preserve">WY LLC $104 + agent ~$125/yr + EIN free + trademark $350 TEAS (opt. attorney $1k) + domains/handles ~$100. TOTAL: ~$700 / $1,800</t>
  </si>
  <si>
    <t xml:space="preserve">Legal documents</t>
  </si>
  <si>
    <t xml:space="preserve">Draft together from MFFU/Apex/Topstep patterns -&gt; attorney REVIEW $2-3k (full custom $10-15k). TOTAL: $2k / $10k</t>
  </si>
  <si>
    <t xml:space="preserve">Platform &amp; tech</t>
  </si>
  <si>
    <t xml:space="preserve">Self-build (Next.js+Postgres+Rithmic CSV/SFTP) ~$1-3k cash + hosting $100-300/mo | whitelabel $3-25k setup. TOTAL: $2k / $15k</t>
  </si>
  <si>
    <t xml:space="preserve">Rithmic &amp; data (actual quote)</t>
  </si>
  <si>
    <t xml:space="preserve">$30/user/mo (+$100 API users), CME data $10 flat top-of-book, private order plant $2,500/mo under $100k fee months, CME TPAP approval $0. First 3 months: ~$8-12k</t>
  </si>
  <si>
    <t xml:space="preserve">Payments &amp; KYC</t>
  </si>
  <si>
    <t xml:space="preserve">2x high-risk MID setup $0-1k, rates 3.5-6% + 5-10% rolling reserve (working capital, not cost); Sumsub/Veriff ~$1.5-2/check ~$149/mo min. TOTAL: $1k / $2k</t>
  </si>
  <si>
    <t xml:space="preserve">Detection &amp; risk tooling</t>
  </si>
  <si>
    <t xml:space="preserve">v1 = own dashboard (built) + manual review; add QuantSentry/propGuard-class at scale $500-2k/mo. TOTAL: $0 / $6k yr-1</t>
  </si>
  <si>
    <t xml:space="preserve">Launch marketing</t>
  </si>
  <si>
    <t xml:space="preserve">Affiliates = % of sale (no upfront); listing outreach + launch promos + content $5-15k. TOTAL: $5k / $15k</t>
  </si>
  <si>
    <t xml:space="preserve">PAYOUT RESERVE (the real number)</t>
  </si>
  <si>
    <t xml:space="preserve">&gt;= CVaR99 = ~2.9x mean monthly payouts, ring-fenced, grows with book. Reduced-scale launch: $120k min / $300k recommended</t>
  </si>
  <si>
    <t xml:space="preserve">GRAND TOTAL</t>
  </si>
  <si>
    <t xml:space="preserve">LOW ~$135k (reduced-scale, self-build, 6.2% combined-stress ruin at full scale) | RECOMMENDED ~$350k (0.2% ruin) — matches both insider benchmark and derived math</t>
  </si>
  <si>
    <t xml:space="preserve">LAUNCH SEQUENCE — MASTER CHECKLIST (ordered)</t>
  </si>
  <si>
    <t xml:space="preserve">1. Now - Sep</t>
  </si>
  <si>
    <t xml:space="preserve">Form WY LLC + EIN + bank; trademark filing; lock domains/socials. Draft CFTC comment letter (due Nov 30). Begin docs drafting (trader agreement first).</t>
  </si>
  <si>
    <t xml:space="preserve">2. Sep - Oct</t>
  </si>
  <si>
    <t xml:space="preserve">Rithmic agreement + CME TPAP submission (company-domain email, website live). Apply to 2 high-risk PSPs (underwriting takes weeks). Attorney review of docs.</t>
  </si>
  <si>
    <t xml:space="preserve">3. Oct - Dec</t>
  </si>
  <si>
    <t xml:space="preserve">Build platform v1: rules engine + tests -&gt; dashboards -&gt; billing/KYC/payout rails. CFTC outcome lands Nov 30 -&gt; final legal posture. NFA I-26-12 (Dec 1) compliant affiliate templates.</t>
  </si>
  <si>
    <t xml:space="preserve">4. Dec - Jan</t>
  </si>
  <si>
    <t xml:space="preserve">Beta cohort 50-100 traders (discounted, feedback loop). Review-site outreach (PickAPropFirm, PropFirmMatch, PTV, DamnPropFirms — the gatekeepers). Seed 3-5 affiliates. Discord live.</t>
  </si>
  <si>
    <t xml:space="preserve">5. Q1 2027 launch</t>
  </si>
  <si>
    <t xml:space="preserve">Public launch: 3 plans, published pass/payout stats (voluntary disclosure = trust moat), no-denial promise, liability dashboard live from day 1.</t>
  </si>
  <si>
    <t xml:space="preserve">6. Post-launch</t>
  </si>
  <si>
    <t xml:space="preserve">Weekly risk ritual; estimate rho from real data (estimator on Risk Engine); entitlement hygiene automation; live tier only after volume + reserves justify FCM.</t>
  </si>
  <si>
    <t xml:space="preserve">THE TRUST BAR (review-sweep, Aug 2026 — what Merit must hit)</t>
  </si>
  <si>
    <t xml:space="preserve">The benchmark</t>
  </si>
  <si>
    <t xml:space="preserve">MFF: 4.9 Trustpilot / 16,000+ reviews — earned by AUTO payout approvals + 24h processing. Lucid: 4.5-4.6 with 15-MINUTE payouts. Tradeify 4.6 ($150M+ verified paid). Apex 4.3/20k. Speed + zero denials = rating.</t>
  </si>
  <si>
    <t xml:space="preserve">The cautionary tale</t>
  </si>
  <si>
    <t xml:space="preserve">Topstep 3.6/14.5k — #1 documented churn reason: REAL-TIME MLL enforcement on accounts marketed around EOD mechanics. Lesson: implementation must exactly match the marketing label, or the gap becomes your review page.</t>
  </si>
  <si>
    <t xml:space="preserve">Steal this mechanic</t>
  </si>
  <si>
    <t xml:space="preserve">FundedNext REMOVES payout caps after the 5th withdrawal. Progressive cap release = our selection math as product: caps while reversion risk is high, freedom once proven. Consider for Merit v1.1.</t>
  </si>
  <si>
    <t xml:space="preserve">Ecosystem note</t>
  </si>
  <si>
    <t xml:space="preserve">MyFundedFX (MFF forex sibling) shut down Feb 2026 with little warning — brand separation protected the futures firm. Ring-fencing works in practice, not just on paper.</t>
  </si>
  <si>
    <t xml:space="preserve">TECH / VENDOR STACK (buy, do not build v1)</t>
  </si>
  <si>
    <t xml:space="preserve">Platform (white-label)</t>
  </si>
  <si>
    <t xml:space="preserve">DXtrade XT (~$5k/mo, used by Apex/TPT), or PropForge / Tradovate Prop / ProjectX. Buy-vs-build: buy — in-house is $1M+/12-18mo.</t>
  </si>
  <si>
    <t xml:space="preserve">Data + routing</t>
  </si>
  <si>
    <t xml:space="preserve">Rithmic ($25/ID + $0.10/ctr) or dxFeed (bundled w/ DXtrade). Decide CME data pass-through vs absorb (see Platform &amp; Data Costs).</t>
  </si>
  <si>
    <t xml:space="preserve">Risk / dashboard</t>
  </si>
  <si>
    <t xml:space="preserve">Vendor-provided risk engine (drawdown tracking, auto-liquidation, consistency enforcement) + admin console.</t>
  </si>
  <si>
    <t xml:space="preserve">Billing / subscriptions</t>
  </si>
  <si>
    <t xml:space="preserve">Recurring billing + reset/reactivation + coupon engine. Multi-PSP for high-risk MCC 6211 (TailoredPay, PaymentCloud).</t>
  </si>
  <si>
    <t xml:space="preserve">Affiliate tracking</t>
  </si>
  <si>
    <t xml:space="preserve">Coupon-code attribution + funded-stage tracking (Track360-style). This is your primary acquisition rail — instrument it well.</t>
  </si>
  <si>
    <t xml:space="preserve">RISE as primary rail: KYC at first payout via Rise onboarding, instant auto-approval upstream, 2-3 business day settlement, crypto/ACH options through Rise. Separate payout treasury wallet from operating cash.</t>
  </si>
  <si>
    <t xml:space="preserve">LAUNCH SEQUENCE</t>
  </si>
  <si>
    <t xml:space="preserve">Phase 0 (pre-launch)</t>
  </si>
  <si>
    <t xml:space="preserve">Counsel: entity + ToS + risk disclosure + KYC/AML + affiliate templates. Pick platform vendor. Set reserve policy (&gt;=3x).</t>
  </si>
  <si>
    <t xml:space="preserve">Phase 1 (SIM-only MVP)</t>
  </si>
  <si>
    <t xml:space="preserve">Launch 2-3 plans (our Core EOD + Rapid Daily + Direct). Tight funded rules. Seed affiliates. Get listed on comparison sites.</t>
  </si>
  <si>
    <t xml:space="preserve">Phase 2 (scale)</t>
  </si>
  <si>
    <t xml:space="preserve">Add sizes, add daily-payout plan, build reserve, negotiate enterprise data licence to cut per-account cost.</t>
  </si>
  <si>
    <t xml:space="preserve">Phase 3 (live tier)</t>
  </si>
  <si>
    <t xml:space="preserve">Add tightly-gated live program via an NFA FCM once volume + reserves justify it. Revisit registration with counsel.</t>
  </si>
  <si>
    <t xml:space="preserve">GO-TO-MARKET / GROWTH</t>
  </si>
  <si>
    <t xml:space="preserve">Affiliate program</t>
  </si>
  <si>
    <t xml:space="preserve">Tiered commission 10-20% of sale (12% is market-standard); higher custom rates for top influencers. This is CAC — and it scales down with your discount.</t>
  </si>
  <si>
    <t xml:space="preserve">Comparison-site listing</t>
  </si>
  <si>
    <t xml:space="preserve">PickAPropFirm, PropFirmMatch, DamnPropFirms, SaveOnPropFirms are GATEKEEPERS, not neutral. Get listed, ranked, and coupon-coded (the JMU model).</t>
  </si>
  <si>
    <t xml:space="preserve">Community</t>
  </si>
  <si>
    <t xml:space="preserve">Discord + a recognizable founder/creator voice. Giveaways, tournaments, transparency (published payouts / on-chain) build trust cheaply.</t>
  </si>
  <si>
    <t xml:space="preserve">Positioning (why you)</t>
  </si>
  <si>
    <t xml:space="preserve">Pricing is commoditized — differentiate: fastest/most-reliable payouts, cleanest single rule model, a feature gap (e.g. overnight/swing like Phidias), or regulation-forward trust (NFA-registered like Topstep).</t>
  </si>
  <si>
    <t xml:space="preserve">Discount strategy</t>
  </si>
  <si>
    <t xml:space="preserve">Inflated list + deep promo codes (up to 90%) that still clear the per-signup floor (see Pricing Power). Non-discounted activation/reset protects margin.</t>
  </si>
  <si>
    <t xml:space="preserve">OPERATOR INTEL (insider Discord, Jul 2025 — MFFU owner, ex-FTT risk/tech, ex-Thrive CTO)</t>
  </si>
  <si>
    <t xml:space="preserve">Why FTT died</t>
  </si>
  <si>
    <t xml:space="preserve">No liability tracking: "they didn't know what their liabilities were till one fine day where everyone requested on new dash." BUILD A REAL-TIME LIABILITY DASHBOARD DAY 1 — outstanding withdrawable across all funded accounts, always visible.</t>
  </si>
  <si>
    <t xml:space="preserve">Why Thrive died</t>
  </si>
  <si>
    <t xml:space="preserve">Post-mortem: too many accounts/trader + aggressive underpricing + third-party tech (YourPropFirm) + rushed launch for cash flow. Validates: max-account caps, price floor discipline, tech ownership, and launching on YOUR schedule.</t>
  </si>
  <si>
    <t xml:space="preserve">Capital reality</t>
  </si>
  <si>
    <t xml:space="preserve">$30-40k whitelabel (or ~$200k own tech) + $300-500k reserves MINIMUM. Whitelabel at scale ~$150k/mo — plan the own-tech transition into year-1 roadmap.</t>
  </si>
  <si>
    <t xml:space="preserve">Data monetization</t>
  </si>
  <si>
    <t xml:space="preserve">MFFU owner (operating, credible): NO firm makes &gt;5% of net profit from data sales or internal trading yet — buyers want trends, not millions. The "cover payouts with monetization" thesis is aspirational. Treat data as UPSIDE, never a planned line item. (Trade-flow data of 500k traders has value at Topstep scale — later.)</t>
  </si>
  <si>
    <t xml:space="preserve">Trader behavior</t>
  </si>
  <si>
    <t xml:space="preserve">Sophisticated traders deliberately DE-correlate across firms (different firm each weekday) but copy-trade WITHIN a firm across stacked accounts — exactly the correlated-payout spike our reserve models. Copy-tool bugs also cause disputes; expect support load.</t>
  </si>
  <si>
    <t xml:space="preserve">Affiliate reality</t>
  </si>
  <si>
    <t xml:space="preserve">Thrive paid 20% on high-ticket accounts and affiliates went UNPAID at collapse — pay affiliates fast and reliably; affiliate trust is the acquisition channel.</t>
  </si>
  <si>
    <t xml:space="preserve">OPERATOR INTEL II (Apr 2025 log — market entry, live economics, adversaries)</t>
  </si>
  <si>
    <t xml:space="preserve">Only 3 entry paths (insider)</t>
  </si>
  <si>
    <t xml:space="preserve">(a) Loss-leader war chest — "unless I have $20M... that is what FundedNext is doing"; (b) audience/influencer distribution — Tradeify paid $34M within a year riding FTT collapse + founder audience; (c) bait-and-switch, launch unsustainable then tighten (TopOne) — we REJECT (c); it torches reviewer trust. Our path = (b)-lite: affiliate/reviewer channel + honest tight-funded design.</t>
  </si>
  <si>
    <t xml:space="preserve">Barrier to entry is ~zero</t>
  </si>
  <si>
    <t xml:space="preserve">A hyped firm "started with 150k cash"; turnkey backends exist from $2.5k. GOOD: our $350k plan is adequate at small scale. BAD: competitor flood drives the race to the bottom — differentiation must be trust + payout reliability, not price alone.</t>
  </si>
  <si>
    <t xml:space="preserve">Tech deal traps</t>
  </si>
  <si>
    <t xml:space="preserve">Rev-share tech deals exist ("30% of revenue for tech") — refuse; flat fees only. Cheap shared backends get firms blacklisted by reviewers (Precision/Humble, "same tech"). Counterpoint FOR established vendors: shared tech catches cross-firm multi-account abuse ("if tech provider is same they will catch").</t>
  </si>
  <si>
    <t xml:space="preserve">You WILL be juiced</t>
  </si>
  <si>
    <t xml:space="preserve">The reviewer/affiliate community professionally extracts payouts from new cheap firms ("good firm to juice for 10k", "hit them like you hit Bulenox", "$1,000 for $15k payout"). Cheap firms defend with strict eval rules: news-trading bans, consistency, anti-hedging/IP-sharing — "they cannot afford gamblers." Budget for adversarial extraction, not just random winners.</t>
  </si>
  <si>
    <t xml:space="preserve">Affiliate-channel credibility rubric</t>
  </si>
  <si>
    <t xml:space="preserve">What reviewers actually check: does the firm PAY (fast, no denials), real named team + responsive support + CEO access, and a SUSTAINABLE offer. New firms are allowed rough edges at cheap prices if payouts are reliable.</t>
  </si>
  <si>
    <t xml:space="preserve">Industry consolidation</t>
  </si>
  <si>
    <t xml:space="preserve">Topstep founder (owns ProjectX) is organizing a futures-prop SRO — insiders read it as a data/standards play. Self-regulation is coming ahead of the CFTC; joining early may be cheap legitimacy.</t>
  </si>
  <si>
    <t xml:space="preserve">LAUNCH DO-LIST (deep research, Aug 2026)</t>
  </si>
  <si>
    <t xml:space="preserve">1. CFTC comment letter (by Nov 30)</t>
  </si>
  <si>
    <t xml:space="preserve">Consultation OPENED Aug 1 2026 — explicitly weighing whether challenge fees = commodity-pool interests. Submit a Merit comment advocating disclosure-based (not registration-based) framework: free, on-record, legitimacy signal. Also puts Merit on the map with the SRO group forming around Topstep/Patak.</t>
  </si>
  <si>
    <t xml:space="preserve">2. Payments architecture</t>
  </si>
  <si>
    <t xml:space="preserve">TWO high-risk MIDs from day one (backup = survival; Stripe/PayPal freeze 90-180 days on a trigger and kill your subscription tokens). Expect 5-10% rolling reserve held 30-180d + elevated rates. Keep chargeback ratio &lt; 0.65%; offer crypto + bank rails and shift volume there if it climbs. Chargeback = instant account termination in ToS (industry standard).</t>
  </si>
  <si>
    <t xml:space="preserve">3. ToS language pattern (MFFU model)</t>
  </si>
  <si>
    <t xml:space="preserve">Mirror the proven disclosure stack: "funded stage operates exclusively in a simulated environment" + live access "by invitation, at our sole discretion, through one of our affiliated companies" + payouts "based on simulated profits, subject to firm review." Sim disclosure + ring-fenced live affiliate + discretion, in the footer of everything.</t>
  </si>
  <si>
    <t xml:space="preserve">4. Name &amp; brand</t>
  </si>
  <si>
    <t xml:space="preserve">"Merit Futures" clear of collisions in the futures-prop space at first pass (Aug 2026). Run USPTO TESS + state searches, register the mark, lock social handles + meritfutures domains beyond .com.</t>
  </si>
  <si>
    <t xml:space="preserve">5. Refuse revenue-share reinsurance</t>
  </si>
  <si>
    <t xml:space="preserve">PropAccount WL1 offers 70/30 gross where THEY cover payout risk — i.e. payout risk prices at ~30% of gross industry-wide. Our tight-funded design beats that actuarially (payouts ~20-30% of gross with full upside control); paying it away surrenders the entire edge. Validates the model, refuse the deal.</t>
  </si>
  <si>
    <t xml:space="preserve">6. Regulatory direction favors us</t>
  </si>
  <si>
    <t xml:space="preserve">2025-26 saw large firms collapse on payout default; the likely CFTC direction is DISCLOSURE mandates (real pass rates, fee-to-payout ratios). Merit computes these natively — publish them voluntarily at launch as differentiation before they are required.</t>
  </si>
  <si>
    <t xml:space="preserve">WHAT STILL NEEDS DOING (open items)</t>
  </si>
  <si>
    <t xml:space="preserve">Legal engagement</t>
  </si>
  <si>
    <t xml:space="preserve">Take the Legal &amp; Compliance brief to a US futures/derivatives attorney. Existential — do first.</t>
  </si>
  <si>
    <t xml:space="preserve">Reset revenue bottom-up</t>
  </si>
  <si>
    <t xml:space="preserve">Model resets/reactivations explicitly (near-pure margin) to sharpen "revenue per signup".</t>
  </si>
  <si>
    <t xml:space="preserve">Cross-validate liability</t>
  </si>
  <si>
    <t xml:space="preserve">Check modeled firm $/funded against the real on-chain numbers in Payout Reality Check.</t>
  </si>
  <si>
    <t xml:space="preserve">Vendor quotes</t>
  </si>
  <si>
    <t xml:space="preserve">Get real quotes (DXtrade/PropForge, Rithmic, PSPs) to replace estimated costs with actuals.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</si>
</sst>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0.0\x"/>
    <numFmt numFmtId="167" formatCode="\$#,##0"/>
    <numFmt numFmtId="168" formatCode="#,##0"/>
    <numFmt numFmtId="169" formatCode="0%"/>
    <numFmt numFmtId="170" formatCode="#,##0.0"/>
    <numFmt numFmtId="171" formatCode="\$#,##0.00"/>
    <numFmt numFmtId="172" formatCode="0.0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3864"/>
        <bgColor rgb="FF333399"/>
      </patternFill>
    </fill>
    <fill>
      <patternFill patternType="solid">
        <fgColor rgb="FFE2EFDA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E2EFDA"/>
      </patternFill>
    </fill>
    <fill>
      <patternFill patternType="solid">
        <fgColor rgb="FFF4CCC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4CCCC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Firm payout cost per funded trader, by plan ($50K)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'Firm Model (Economics)'!$B$7:$B$35</c:f>
              <c:strCache>
                <c:ptCount val="29"/>
                <c:pt idx="0">
                  <c:v>Intraday</c:v>
                </c:pt>
                <c:pt idx="1">
                  <c:v>EOD</c:v>
                </c:pt>
                <c:pt idx="2">
                  <c:v>Standard</c:v>
                </c:pt>
                <c:pt idx="3">
                  <c:v>Consistency</c:v>
                </c:pt>
                <c:pt idx="4">
                  <c:v>PRO</c:v>
                </c:pt>
                <c:pt idx="5">
                  <c:v>Expert</c:v>
                </c:pt>
                <c:pt idx="6">
                  <c:v>Flex</c:v>
                </c:pt>
                <c:pt idx="7">
                  <c:v>Growth</c:v>
                </c:pt>
                <c:pt idx="8">
                  <c:v>Select</c:v>
                </c:pt>
                <c:pt idx="9">
                  <c:v>Lightning</c:v>
                </c:pt>
                <c:pt idx="10">
                  <c:v>Quick Pay</c:v>
                </c:pt>
                <c:pt idx="11">
                  <c:v>Fast Pass</c:v>
                </c:pt>
                <c:pt idx="12">
                  <c:v>Elite Challenge</c:v>
                </c:pt>
                <c:pt idx="13">
                  <c:v>S2F PRO</c:v>
                </c:pt>
                <c:pt idx="14">
                  <c:v>LucidPro</c:v>
                </c:pt>
                <c:pt idx="15">
                  <c:v>LucidFlex</c:v>
                </c:pt>
                <c:pt idx="16">
                  <c:v>LucidDirect</c:v>
                </c:pt>
                <c:pt idx="17">
                  <c:v>Rapid EOD</c:v>
                </c:pt>
                <c:pt idx="18">
                  <c:v>Rapid Daily</c:v>
                </c:pt>
                <c:pt idx="19">
                  <c:v>Option 1</c:v>
                </c:pt>
                <c:pt idx="20">
                  <c:v>Day Trade</c:v>
                </c:pt>
                <c:pt idx="21">
                  <c:v>Zero Starter</c:v>
                </c:pt>
                <c:pt idx="22">
                  <c:v>Propel</c:v>
                </c:pt>
                <c:pt idx="23">
                  <c:v>Elite</c:v>
                </c:pt>
                <c:pt idx="24">
                  <c:v>Fundamental</c:v>
                </c:pt>
                <c:pt idx="25">
                  <c:v>Static</c:v>
                </c:pt>
                <c:pt idx="26">
                  <c:v>Core EOD (eval)</c:v>
                </c:pt>
                <c:pt idx="27">
                  <c:v>Rapid Daily (eval)</c:v>
                </c:pt>
                <c:pt idx="28">
                  <c:v>Direct (instant)</c:v>
                </c:pt>
              </c:strCache>
            </c:strRef>
          </c:cat>
          <c:val>
            <c:numRef>
              <c:f>'Firm Model (Economics)'!$G$7:$G$35</c:f>
              <c:numCache>
                <c:formatCode>\$#,##0</c:formatCode>
                <c:ptCount val="29"/>
                <c:pt idx="0">
                  <c:v>2049</c:v>
                </c:pt>
                <c:pt idx="1">
                  <c:v>2062</c:v>
                </c:pt>
                <c:pt idx="2">
                  <c:v>2111</c:v>
                </c:pt>
                <c:pt idx="3">
                  <c:v>2872</c:v>
                </c:pt>
                <c:pt idx="4">
                  <c:v>3799</c:v>
                </c:pt>
                <c:pt idx="5">
                  <c:v>2357</c:v>
                </c:pt>
                <c:pt idx="6">
                  <c:v>1303</c:v>
                </c:pt>
                <c:pt idx="7">
                  <c:v>1046</c:v>
                </c:pt>
                <c:pt idx="8">
                  <c:v>2402</c:v>
                </c:pt>
                <c:pt idx="9">
                  <c:v>278</c:v>
                </c:pt>
                <c:pt idx="10">
                  <c:v>1255</c:v>
                </c:pt>
                <c:pt idx="11">
                  <c:v>2412</c:v>
                </c:pt>
                <c:pt idx="12">
                  <c:v>826</c:v>
                </c:pt>
                <c:pt idx="13">
                  <c:v>476</c:v>
                </c:pt>
                <c:pt idx="14">
                  <c:v>1245</c:v>
                </c:pt>
                <c:pt idx="15">
                  <c:v>2153</c:v>
                </c:pt>
                <c:pt idx="16">
                  <c:v>167</c:v>
                </c:pt>
                <c:pt idx="17">
                  <c:v>2379</c:v>
                </c:pt>
                <c:pt idx="18">
                  <c:v>2089</c:v>
                </c:pt>
                <c:pt idx="19">
                  <c:v>872</c:v>
                </c:pt>
                <c:pt idx="20">
                  <c:v>859</c:v>
                </c:pt>
                <c:pt idx="21">
                  <c:v>346</c:v>
                </c:pt>
                <c:pt idx="22">
                  <c:v>1339</c:v>
                </c:pt>
                <c:pt idx="23">
                  <c:v>886</c:v>
                </c:pt>
                <c:pt idx="24">
                  <c:v>848</c:v>
                </c:pt>
                <c:pt idx="25">
                  <c:v>840</c:v>
                </c:pt>
                <c:pt idx="26">
                  <c:v>698</c:v>
                </c:pt>
                <c:pt idx="27">
                  <c:v>800</c:v>
                </c:pt>
                <c:pt idx="28">
                  <c:v>206</c:v>
                </c:pt>
              </c:numCache>
            </c:numRef>
          </c:val>
        </c:ser>
        <c:gapWidth val="150"/>
        <c:overlap val="0"/>
        <c:axId val="66166541"/>
        <c:axId val="91721600"/>
      </c:barChart>
      <c:catAx>
        <c:axId val="66166541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21600"/>
        <c:crosses val="autoZero"/>
        <c:auto val="1"/>
        <c:lblAlgn val="ctr"/>
        <c:lblOffset val="100"/>
        <c:noMultiLvlLbl val="0"/>
      </c:catAx>
      <c:valAx>
        <c:axId val="917216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665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payout per withdrawal (futures firms, on-chain)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'Payout Reality Check'!$A$5:$A$15</c:f>
              <c:strCache>
                <c:ptCount val="11"/>
                <c:pt idx="0">
                  <c:v>Tradeify</c:v>
                </c:pt>
                <c:pt idx="1">
                  <c:v>MyFundedFutures</c:v>
                </c:pt>
                <c:pt idx="2">
                  <c:v>FundedFuturesFamily</c:v>
                </c:pt>
                <c:pt idx="3">
                  <c:v>FuturesElite</c:v>
                </c:pt>
                <c:pt idx="4">
                  <c:v>TopOneFutures</c:v>
                </c:pt>
                <c:pt idx="5">
                  <c:v>GoatFundedFutures</c:v>
                </c:pt>
                <c:pt idx="6">
                  <c:v>TradeDay</c:v>
                </c:pt>
                <c:pt idx="7">
                  <c:v>AlphaFutures</c:v>
                </c:pt>
                <c:pt idx="8">
                  <c:v>TopOneTrader</c:v>
                </c:pt>
                <c:pt idx="9">
                  <c:v>Elite Trader Funding</c:v>
                </c:pt>
                <c:pt idx="10">
                  <c:v>AquaFutures</c:v>
                </c:pt>
              </c:strCache>
            </c:strRef>
          </c:cat>
          <c:val>
            <c:numRef>
              <c:f>'Payout Reality Check'!$D$5:$D$15</c:f>
              <c:numCache>
                <c:formatCode>\$#,##0</c:formatCode>
                <c:ptCount val="11"/>
                <c:pt idx="0">
                  <c:v>1712</c:v>
                </c:pt>
                <c:pt idx="1">
                  <c:v>1599</c:v>
                </c:pt>
                <c:pt idx="2">
                  <c:v>1525</c:v>
                </c:pt>
                <c:pt idx="3">
                  <c:v>2152</c:v>
                </c:pt>
                <c:pt idx="4">
                  <c:v>1428</c:v>
                </c:pt>
                <c:pt idx="5">
                  <c:v>1425</c:v>
                </c:pt>
                <c:pt idx="6">
                  <c:v>1057</c:v>
                </c:pt>
                <c:pt idx="7">
                  <c:v>2111</c:v>
                </c:pt>
                <c:pt idx="8">
                  <c:v>1323</c:v>
                </c:pt>
                <c:pt idx="9">
                  <c:v>841</c:v>
                </c:pt>
                <c:pt idx="10">
                  <c:v>2075</c:v>
                </c:pt>
              </c:numCache>
            </c:numRef>
          </c:val>
        </c:ser>
        <c:gapWidth val="150"/>
        <c:overlap val="0"/>
        <c:axId val="50129017"/>
        <c:axId val="15862940"/>
      </c:barChart>
      <c:catAx>
        <c:axId val="50129017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62940"/>
        <c:crosses val="autoZero"/>
        <c:auto val="1"/>
        <c:lblAlgn val="ctr"/>
        <c:lblOffset val="100"/>
        <c:noMultiLvlLbl val="0"/>
      </c:catAx>
      <c:valAx>
        <c:axId val="158629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290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Firm $/funded — payout cap sweep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90946440"/>
        <c:axId val="24539598"/>
      </c:barChart>
      <c:catAx>
        <c:axId val="90946440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24539598"/>
        <c:auto val="1"/>
        <c:lblAlgn val="ctr"/>
        <c:lblOffset val="100"/>
        <c:noMultiLvlLbl val="0"/>
      </c:catAx>
      <c:valAx>
        <c:axId val="24539598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90946440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Contribution/signup vs discount depth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'Pricing Power'!$A$21:$A$26</c:f>
              <c:strCache>
                <c:ptCount val="6"/>
                <c:pt idx="0">
                  <c:v>0%</c:v>
                </c:pt>
                <c:pt idx="1">
                  <c:v>20%</c:v>
                </c:pt>
                <c:pt idx="2">
                  <c:v>40%</c:v>
                </c:pt>
                <c:pt idx="3">
                  <c:v>60%</c:v>
                </c:pt>
                <c:pt idx="4">
                  <c:v>80%</c:v>
                </c:pt>
                <c:pt idx="5">
                  <c:v>90%</c:v>
                </c:pt>
              </c:strCache>
            </c:strRef>
          </c:cat>
          <c:val>
            <c:numRef>
              <c:f>'Pricing Power'!$D$21:$D$26</c:f>
              <c:numCache>
                <c:formatCode>\$#,##0</c:formatCode>
                <c:ptCount val="6"/>
                <c:pt idx="0">
                  <c:v>164.07</c:v>
                </c:pt>
                <c:pt idx="1">
                  <c:v>68.37</c:v>
                </c:pt>
                <c:pt idx="2">
                  <c:v>-27.33</c:v>
                </c:pt>
                <c:pt idx="3">
                  <c:v>-123.03</c:v>
                </c:pt>
                <c:pt idx="4">
                  <c:v>-218.73</c:v>
                </c:pt>
                <c:pt idx="5">
                  <c:v>-266.58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364668"/>
        <c:axId val="32168592"/>
      </c:lineChart>
      <c:catAx>
        <c:axId val="86364668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68592"/>
        <c:crosses val="autoZero"/>
        <c:auto val="1"/>
        <c:lblAlgn val="ctr"/>
        <c:lblOffset val="100"/>
        <c:noMultiLvlLbl val="0"/>
      </c:catAx>
      <c:valAx>
        <c:axId val="321685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646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4</xdr:row>
      <xdr:rowOff>160560</xdr:rowOff>
    </xdr:from>
    <xdr:to>
      <xdr:col>22</xdr:col>
      <xdr:colOff>364680</xdr:colOff>
      <xdr:row>30</xdr:row>
      <xdr:rowOff>135000</xdr:rowOff>
    </xdr:to>
    <xdr:graphicFrame>
      <xdr:nvGraphicFramePr>
        <xdr:cNvPr id="0" name="Chart 1"/>
        <xdr:cNvGraphicFramePr/>
      </xdr:nvGraphicFramePr>
      <xdr:xfrm>
        <a:off x="10972800" y="95256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15</xdr:col>
      <xdr:colOff>507600</xdr:colOff>
      <xdr:row>19</xdr:row>
      <xdr:rowOff>162000</xdr:rowOff>
    </xdr:to>
    <xdr:graphicFrame>
      <xdr:nvGraphicFramePr>
        <xdr:cNvPr id="1" name="Chart 1"/>
        <xdr:cNvGraphicFramePr/>
      </xdr:nvGraphicFramePr>
      <xdr:xfrm>
        <a:off x="7660080" y="571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14</xdr:col>
      <xdr:colOff>147600</xdr:colOff>
      <xdr:row>14</xdr:row>
      <xdr:rowOff>169560</xdr:rowOff>
    </xdr:to>
    <xdr:graphicFrame>
      <xdr:nvGraphicFramePr>
        <xdr:cNvPr id="2" name="Chart 1"/>
        <xdr:cNvGraphicFramePr/>
      </xdr:nvGraphicFramePr>
      <xdr:xfrm>
        <a:off x="8012520" y="571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14</xdr:col>
      <xdr:colOff>507600</xdr:colOff>
      <xdr:row>17</xdr:row>
      <xdr:rowOff>182880</xdr:rowOff>
    </xdr:to>
    <xdr:graphicFrame>
      <xdr:nvGraphicFramePr>
        <xdr:cNvPr id="3" name="Chart 1"/>
        <xdr:cNvGraphicFramePr/>
      </xdr:nvGraphicFramePr>
      <xdr:xfrm>
        <a:off x="8528760" y="571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4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5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9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4"/>
    </row>
    <row r="5" customFormat="false" ht="15" hidden="false" customHeight="false" outlineLevel="0" collapsed="false">
      <c r="C5" s="5" t="s">
        <v>3</v>
      </c>
    </row>
    <row r="6" customFormat="false" ht="15" hidden="false" customHeight="false" outlineLevel="0" collapsed="false">
      <c r="C6" s="5" t="s">
        <v>4</v>
      </c>
    </row>
    <row r="7" customFormat="false" ht="15" hidden="false" customHeight="false" outlineLevel="0" collapsed="false">
      <c r="C7" s="5" t="s">
        <v>5</v>
      </c>
    </row>
    <row r="8" customFormat="false" ht="15" hidden="false" customHeight="false" outlineLevel="0" collapsed="false">
      <c r="C8" s="5" t="s">
        <v>6</v>
      </c>
    </row>
    <row r="9" customFormat="false" ht="15" hidden="false" customHeight="false" outlineLevel="0" collapsed="false">
      <c r="C9" s="5" t="s">
        <v>7</v>
      </c>
    </row>
    <row r="11" customFormat="false" ht="15" hidden="false" customHeight="false" outlineLevel="0" collapsed="false">
      <c r="B11" s="3" t="s">
        <v>8</v>
      </c>
      <c r="C11" s="4"/>
    </row>
    <row r="12" customFormat="false" ht="15" hidden="false" customHeight="false" outlineLevel="0" collapsed="false">
      <c r="C12" s="5" t="s">
        <v>9</v>
      </c>
    </row>
    <row r="13" customFormat="false" ht="15" hidden="false" customHeight="false" outlineLevel="0" collapsed="false">
      <c r="C13" s="5" t="s">
        <v>10</v>
      </c>
    </row>
    <row r="14" customFormat="false" ht="15" hidden="false" customHeight="false" outlineLevel="0" collapsed="false">
      <c r="C14" s="5" t="s">
        <v>11</v>
      </c>
    </row>
    <row r="15" customFormat="false" ht="15" hidden="false" customHeight="false" outlineLevel="0" collapsed="false">
      <c r="C15" s="5" t="s">
        <v>12</v>
      </c>
    </row>
    <row r="16" customFormat="false" ht="15" hidden="false" customHeight="false" outlineLevel="0" collapsed="false">
      <c r="C16" s="5" t="s">
        <v>13</v>
      </c>
    </row>
    <row r="18" customFormat="false" ht="15" hidden="false" customHeight="false" outlineLevel="0" collapsed="false">
      <c r="B18" s="3" t="s">
        <v>14</v>
      </c>
      <c r="C18" s="4"/>
    </row>
    <row r="19" customFormat="false" ht="15" hidden="false" customHeight="false" outlineLevel="0" collapsed="false">
      <c r="C19" s="5" t="s">
        <v>15</v>
      </c>
    </row>
    <row r="20" customFormat="false" ht="15" hidden="false" customHeight="false" outlineLevel="0" collapsed="false">
      <c r="C20" s="5" t="s">
        <v>16</v>
      </c>
    </row>
    <row r="21" customFormat="false" ht="15" hidden="false" customHeight="false" outlineLevel="0" collapsed="false">
      <c r="C21" s="5" t="s">
        <v>17</v>
      </c>
    </row>
    <row r="22" customFormat="false" ht="15" hidden="false" customHeight="false" outlineLevel="0" collapsed="false">
      <c r="C22" s="5" t="s">
        <v>18</v>
      </c>
    </row>
    <row r="23" customFormat="false" ht="15" hidden="false" customHeight="false" outlineLevel="0" collapsed="false">
      <c r="C23" s="5" t="s">
        <v>19</v>
      </c>
    </row>
    <row r="24" customFormat="false" ht="15" hidden="false" customHeight="false" outlineLevel="0" collapsed="false">
      <c r="C24" s="5" t="s">
        <v>20</v>
      </c>
    </row>
    <row r="26" customFormat="false" ht="15" hidden="false" customHeight="false" outlineLevel="0" collapsed="false">
      <c r="B26" s="3" t="s">
        <v>21</v>
      </c>
      <c r="C26" s="4"/>
    </row>
    <row r="27" customFormat="false" ht="15" hidden="false" customHeight="false" outlineLevel="0" collapsed="false">
      <c r="C27" s="5" t="s">
        <v>22</v>
      </c>
    </row>
    <row r="28" customFormat="false" ht="15" hidden="false" customHeight="false" outlineLevel="0" collapsed="false">
      <c r="C28" s="5" t="s">
        <v>23</v>
      </c>
    </row>
    <row r="29" customFormat="false" ht="15" hidden="false" customHeight="false" outlineLevel="0" collapsed="false">
      <c r="C29" s="5" t="s">
        <v>24</v>
      </c>
    </row>
    <row r="30" customFormat="false" ht="15" hidden="false" customHeight="false" outlineLevel="0" collapsed="false">
      <c r="C30" s="5" t="s">
        <v>25</v>
      </c>
    </row>
    <row r="32" customFormat="false" ht="15" hidden="false" customHeight="false" outlineLevel="0" collapsed="false">
      <c r="B32" s="3" t="s">
        <v>26</v>
      </c>
      <c r="C32" s="4"/>
    </row>
    <row r="33" customFormat="false" ht="15" hidden="false" customHeight="false" outlineLevel="0" collapsed="false">
      <c r="C33" s="5" t="s">
        <v>27</v>
      </c>
    </row>
    <row r="35" customFormat="false" ht="15" hidden="false" customHeight="false" outlineLevel="0" collapsed="false">
      <c r="B35" s="3" t="s">
        <v>28</v>
      </c>
      <c r="C35" s="4"/>
    </row>
    <row r="36" customFormat="false" ht="15" hidden="false" customHeight="false" outlineLevel="0" collapsed="false">
      <c r="C36" s="5" t="s">
        <v>29</v>
      </c>
    </row>
    <row r="37" customFormat="false" ht="15" hidden="false" customHeight="false" outlineLevel="0" collapsed="false">
      <c r="C37" s="5" t="s">
        <v>30</v>
      </c>
    </row>
    <row r="38" customFormat="false" ht="15" hidden="false" customHeight="false" outlineLevel="0" collapsed="false">
      <c r="C38" s="5" t="s">
        <v>31</v>
      </c>
    </row>
    <row r="39" customFormat="false" ht="15" hidden="false" customHeight="false" outlineLevel="0" collapsed="false">
      <c r="C39" s="5" t="s">
        <v>32</v>
      </c>
    </row>
    <row r="40" customFormat="false" ht="15" hidden="false" customHeight="false" outlineLevel="0" collapsed="false">
      <c r="C40" s="5" t="s">
        <v>33</v>
      </c>
    </row>
    <row r="42" customFormat="false" ht="15" hidden="false" customHeight="false" outlineLevel="0" collapsed="false">
      <c r="B42" s="3" t="s">
        <v>34</v>
      </c>
      <c r="C42" s="4"/>
    </row>
    <row r="43" customFormat="false" ht="15" hidden="false" customHeight="false" outlineLevel="0" collapsed="false">
      <c r="C43" s="5" t="s">
        <v>35</v>
      </c>
    </row>
    <row r="44" customFormat="false" ht="15" hidden="false" customHeight="false" outlineLevel="0" collapsed="false">
      <c r="C44" s="5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5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6" t="s">
        <v>39</v>
      </c>
      <c r="B4" s="6" t="s">
        <v>40</v>
      </c>
      <c r="C4" s="6" t="s">
        <v>41</v>
      </c>
    </row>
    <row r="5" customFormat="false" ht="15" hidden="false" customHeight="false" outlineLevel="0" collapsed="false">
      <c r="A5" s="7" t="s">
        <v>42</v>
      </c>
      <c r="B5" s="8" t="n">
        <v>0.14</v>
      </c>
      <c r="C5" s="9" t="s">
        <v>43</v>
      </c>
    </row>
    <row r="6" customFormat="false" ht="15" hidden="false" customHeight="false" outlineLevel="0" collapsed="false">
      <c r="A6" s="7" t="s">
        <v>44</v>
      </c>
      <c r="B6" s="8" t="n">
        <v>0.45</v>
      </c>
      <c r="C6" s="9" t="s">
        <v>45</v>
      </c>
    </row>
    <row r="7" customFormat="false" ht="15" hidden="false" customHeight="false" outlineLevel="0" collapsed="false">
      <c r="A7" s="7" t="s">
        <v>46</v>
      </c>
      <c r="B7" s="8" t="n">
        <v>0.07</v>
      </c>
      <c r="C7" s="9" t="s">
        <v>45</v>
      </c>
    </row>
    <row r="8" customFormat="false" ht="15" hidden="false" customHeight="false" outlineLevel="0" collapsed="false">
      <c r="A8" s="7" t="s">
        <v>47</v>
      </c>
      <c r="B8" s="8" t="n">
        <v>0.04</v>
      </c>
      <c r="C8" s="9" t="s">
        <v>45</v>
      </c>
    </row>
    <row r="9" customFormat="false" ht="15" hidden="false" customHeight="false" outlineLevel="0" collapsed="false">
      <c r="A9" s="7" t="s">
        <v>48</v>
      </c>
      <c r="B9" s="10" t="n">
        <v>4</v>
      </c>
      <c r="C9" s="9" t="s">
        <v>49</v>
      </c>
    </row>
    <row r="10" customFormat="false" ht="15" hidden="false" customHeight="false" outlineLevel="0" collapsed="false">
      <c r="A10" s="7" t="s">
        <v>50</v>
      </c>
      <c r="B10" s="8" t="n">
        <v>0.168</v>
      </c>
      <c r="C10" s="9" t="s">
        <v>51</v>
      </c>
    </row>
    <row r="11" customFormat="false" ht="15" hidden="false" customHeight="false" outlineLevel="0" collapsed="false">
      <c r="A11" s="7" t="s">
        <v>52</v>
      </c>
      <c r="B11" s="8" t="n">
        <v>0.2037</v>
      </c>
      <c r="C11" s="9" t="s">
        <v>53</v>
      </c>
    </row>
    <row r="12" customFormat="false" ht="15" hidden="false" customHeight="false" outlineLevel="0" collapsed="false">
      <c r="A12" s="7" t="s">
        <v>54</v>
      </c>
      <c r="B12" s="8" t="n">
        <v>0.175</v>
      </c>
      <c r="C12" s="9" t="s">
        <v>55</v>
      </c>
    </row>
    <row r="13" customFormat="false" ht="15" hidden="false" customHeight="false" outlineLevel="0" collapsed="false">
      <c r="A13" s="7" t="s">
        <v>56</v>
      </c>
      <c r="B13" s="8" t="n">
        <v>0.71</v>
      </c>
      <c r="C13" s="9" t="s">
        <v>57</v>
      </c>
    </row>
    <row r="14" customFormat="false" ht="15" hidden="false" customHeight="false" outlineLevel="0" collapsed="false">
      <c r="A14" s="7" t="s">
        <v>58</v>
      </c>
      <c r="B14" s="11" t="n">
        <v>439408133</v>
      </c>
      <c r="C14" s="9" t="s">
        <v>59</v>
      </c>
    </row>
    <row r="15" customFormat="false" ht="15" hidden="false" customHeight="false" outlineLevel="0" collapsed="false">
      <c r="A15" s="7" t="s">
        <v>60</v>
      </c>
      <c r="B15" s="11" t="n">
        <v>325000000</v>
      </c>
      <c r="C15" s="9" t="s">
        <v>61</v>
      </c>
    </row>
    <row r="16" customFormat="false" ht="15" hidden="false" customHeight="false" outlineLevel="0" collapsed="false">
      <c r="A16" s="7" t="s">
        <v>62</v>
      </c>
      <c r="B16" s="11" t="n">
        <v>20000000000</v>
      </c>
      <c r="C16" s="9" t="s">
        <v>63</v>
      </c>
    </row>
    <row r="17" customFormat="false" ht="15" hidden="false" customHeight="false" outlineLevel="0" collapsed="false">
      <c r="A17" s="7" t="s">
        <v>64</v>
      </c>
      <c r="B17" s="12" t="n">
        <v>2000</v>
      </c>
      <c r="C17" s="9" t="s">
        <v>63</v>
      </c>
    </row>
    <row r="18" customFormat="false" ht="15" hidden="false" customHeight="false" outlineLevel="0" collapsed="false">
      <c r="A18" s="7" t="s">
        <v>65</v>
      </c>
      <c r="B18" s="8" t="n">
        <v>0.6</v>
      </c>
      <c r="C18" s="9" t="s">
        <v>66</v>
      </c>
    </row>
    <row r="19" customFormat="false" ht="15" hidden="false" customHeight="false" outlineLevel="0" collapsed="false">
      <c r="A19" s="7" t="s">
        <v>67</v>
      </c>
      <c r="B19" s="12" t="n">
        <v>90</v>
      </c>
      <c r="C19" s="9" t="s">
        <v>68</v>
      </c>
    </row>
    <row r="20" customFormat="false" ht="15" hidden="false" customHeight="false" outlineLevel="0" collapsed="false">
      <c r="A20" s="7" t="s">
        <v>69</v>
      </c>
      <c r="B20" s="11" t="n">
        <v>125</v>
      </c>
      <c r="C20" s="9" t="s">
        <v>70</v>
      </c>
    </row>
    <row r="21" customFormat="false" ht="15" hidden="false" customHeight="false" outlineLevel="0" collapsed="false">
      <c r="A21" s="7" t="s">
        <v>71</v>
      </c>
      <c r="B21" s="11" t="n">
        <v>500</v>
      </c>
      <c r="C21" s="9" t="s">
        <v>72</v>
      </c>
    </row>
    <row r="22" customFormat="false" ht="15" hidden="false" customHeight="false" outlineLevel="0" collapsed="false">
      <c r="A22" s="7" t="s">
        <v>73</v>
      </c>
      <c r="B22" s="12" t="n">
        <v>6</v>
      </c>
      <c r="C22" s="9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6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7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4" min="14" style="0" width="9"/>
    <col collapsed="false" customWidth="true" hidden="false" outlineLevel="0" max="15" min="15" style="0" width="7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23.85" hidden="false" customHeight="false" outlineLevel="0" collapsed="false">
      <c r="A4" s="6" t="s">
        <v>76</v>
      </c>
      <c r="B4" s="6" t="s">
        <v>77</v>
      </c>
      <c r="C4" s="6" t="s">
        <v>78</v>
      </c>
      <c r="D4" s="6" t="s">
        <v>79</v>
      </c>
      <c r="E4" s="6" t="s">
        <v>80</v>
      </c>
      <c r="F4" s="6" t="s">
        <v>81</v>
      </c>
      <c r="G4" s="6" t="s">
        <v>82</v>
      </c>
      <c r="H4" s="6" t="s">
        <v>83</v>
      </c>
      <c r="I4" s="6" t="s">
        <v>84</v>
      </c>
      <c r="J4" s="6" t="s">
        <v>85</v>
      </c>
      <c r="K4" s="6" t="s">
        <v>86</v>
      </c>
      <c r="L4" s="6" t="s">
        <v>87</v>
      </c>
      <c r="M4" s="6" t="s">
        <v>88</v>
      </c>
      <c r="N4" s="6" t="s">
        <v>89</v>
      </c>
      <c r="O4" s="6" t="s">
        <v>90</v>
      </c>
      <c r="P4" s="6" t="s">
        <v>91</v>
      </c>
    </row>
    <row r="5" customFormat="false" ht="23.85" hidden="false" customHeight="false" outlineLevel="0" collapsed="false">
      <c r="A5" s="13" t="s">
        <v>92</v>
      </c>
      <c r="B5" s="14" t="s">
        <v>93</v>
      </c>
      <c r="C5" s="14" t="s">
        <v>94</v>
      </c>
      <c r="D5" s="14" t="s">
        <v>95</v>
      </c>
      <c r="E5" s="15" t="n">
        <v>79</v>
      </c>
      <c r="F5" s="14" t="s">
        <v>96</v>
      </c>
      <c r="G5" s="14" t="s">
        <v>97</v>
      </c>
      <c r="H5" s="14" t="s">
        <v>98</v>
      </c>
      <c r="I5" s="14" t="s">
        <v>96</v>
      </c>
      <c r="J5" s="14" t="s">
        <v>99</v>
      </c>
      <c r="K5" s="14" t="s">
        <v>100</v>
      </c>
      <c r="L5" s="14" t="s">
        <v>101</v>
      </c>
      <c r="M5" s="14" t="s">
        <v>102</v>
      </c>
      <c r="N5" s="14" t="s">
        <v>103</v>
      </c>
      <c r="O5" s="14" t="s">
        <v>104</v>
      </c>
      <c r="P5" s="16" t="s">
        <v>105</v>
      </c>
    </row>
    <row r="6" customFormat="false" ht="23.85" hidden="false" customHeight="false" outlineLevel="0" collapsed="false">
      <c r="A6" s="13" t="s">
        <v>92</v>
      </c>
      <c r="B6" s="14" t="s">
        <v>106</v>
      </c>
      <c r="C6" s="14" t="s">
        <v>94</v>
      </c>
      <c r="D6" s="14" t="s">
        <v>95</v>
      </c>
      <c r="E6" s="15" t="n">
        <v>119</v>
      </c>
      <c r="F6" s="14" t="s">
        <v>107</v>
      </c>
      <c r="G6" s="14" t="s">
        <v>97</v>
      </c>
      <c r="H6" s="14" t="s">
        <v>98</v>
      </c>
      <c r="I6" s="14" t="s">
        <v>107</v>
      </c>
      <c r="J6" s="14" t="s">
        <v>99</v>
      </c>
      <c r="K6" s="14" t="s">
        <v>108</v>
      </c>
      <c r="L6" s="14" t="s">
        <v>101</v>
      </c>
      <c r="M6" s="14" t="s">
        <v>102</v>
      </c>
      <c r="N6" s="14" t="s">
        <v>103</v>
      </c>
      <c r="O6" s="14" t="s">
        <v>104</v>
      </c>
      <c r="P6" s="16" t="s">
        <v>109</v>
      </c>
    </row>
    <row r="7" customFormat="false" ht="23.85" hidden="false" customHeight="false" outlineLevel="0" collapsed="false">
      <c r="A7" s="13" t="s">
        <v>92</v>
      </c>
      <c r="B7" s="14" t="s">
        <v>110</v>
      </c>
      <c r="C7" s="14" t="s">
        <v>94</v>
      </c>
      <c r="D7" s="14" t="s">
        <v>111</v>
      </c>
      <c r="E7" s="15" t="n">
        <v>104</v>
      </c>
      <c r="F7" s="14" t="s">
        <v>96</v>
      </c>
      <c r="G7" s="14" t="s">
        <v>97</v>
      </c>
      <c r="H7" s="14" t="s">
        <v>98</v>
      </c>
      <c r="I7" s="14" t="s">
        <v>96</v>
      </c>
      <c r="J7" s="14" t="s">
        <v>99</v>
      </c>
      <c r="K7" s="14" t="s">
        <v>112</v>
      </c>
      <c r="L7" s="14" t="s">
        <v>101</v>
      </c>
      <c r="M7" s="14" t="s">
        <v>102</v>
      </c>
      <c r="N7" s="14" t="s">
        <v>103</v>
      </c>
      <c r="O7" s="14" t="s">
        <v>104</v>
      </c>
      <c r="P7" s="16" t="s">
        <v>113</v>
      </c>
    </row>
    <row r="8" customFormat="false" ht="23.85" hidden="false" customHeight="false" outlineLevel="0" collapsed="false">
      <c r="A8" s="13" t="s">
        <v>92</v>
      </c>
      <c r="B8" s="14" t="s">
        <v>114</v>
      </c>
      <c r="C8" s="14" t="s">
        <v>94</v>
      </c>
      <c r="D8" s="14" t="s">
        <v>115</v>
      </c>
      <c r="E8" s="15" t="n">
        <v>145</v>
      </c>
      <c r="F8" s="14" t="s">
        <v>116</v>
      </c>
      <c r="G8" s="14" t="s">
        <v>97</v>
      </c>
      <c r="H8" s="14" t="s">
        <v>117</v>
      </c>
      <c r="I8" s="14" t="s">
        <v>116</v>
      </c>
      <c r="J8" s="14" t="s">
        <v>99</v>
      </c>
      <c r="K8" s="14" t="s">
        <v>118</v>
      </c>
      <c r="L8" s="14" t="s">
        <v>119</v>
      </c>
      <c r="M8" s="14" t="s">
        <v>120</v>
      </c>
      <c r="N8" s="14" t="s">
        <v>103</v>
      </c>
      <c r="O8" s="14" t="s">
        <v>104</v>
      </c>
      <c r="P8" s="16" t="s">
        <v>121</v>
      </c>
    </row>
    <row r="9" customFormat="false" ht="23.85" hidden="false" customHeight="false" outlineLevel="0" collapsed="false">
      <c r="A9" s="13" t="s">
        <v>122</v>
      </c>
      <c r="B9" s="14" t="s">
        <v>123</v>
      </c>
      <c r="C9" s="14" t="s">
        <v>94</v>
      </c>
      <c r="D9" s="14" t="s">
        <v>124</v>
      </c>
      <c r="E9" s="15" t="n">
        <v>201</v>
      </c>
      <c r="F9" s="14" t="s">
        <v>125</v>
      </c>
      <c r="G9" s="14" t="s">
        <v>99</v>
      </c>
      <c r="H9" s="14" t="s">
        <v>126</v>
      </c>
      <c r="I9" s="14" t="s">
        <v>107</v>
      </c>
      <c r="J9" s="14" t="s">
        <v>127</v>
      </c>
      <c r="K9" s="14" t="s">
        <v>128</v>
      </c>
      <c r="L9" s="14" t="s">
        <v>101</v>
      </c>
      <c r="M9" s="14" t="s">
        <v>129</v>
      </c>
      <c r="N9" s="14" t="s">
        <v>130</v>
      </c>
      <c r="O9" s="14" t="s">
        <v>131</v>
      </c>
      <c r="P9" s="16" t="s">
        <v>132</v>
      </c>
    </row>
    <row r="10" customFormat="false" ht="35.05" hidden="false" customHeight="false" outlineLevel="0" collapsed="false">
      <c r="A10" s="13" t="s">
        <v>133</v>
      </c>
      <c r="B10" s="14" t="s">
        <v>134</v>
      </c>
      <c r="C10" s="14" t="s">
        <v>94</v>
      </c>
      <c r="D10" s="14" t="s">
        <v>135</v>
      </c>
      <c r="E10" s="15" t="n">
        <v>102</v>
      </c>
      <c r="F10" s="14" t="s">
        <v>107</v>
      </c>
      <c r="G10" s="14" t="s">
        <v>99</v>
      </c>
      <c r="H10" s="14" t="s">
        <v>131</v>
      </c>
      <c r="I10" s="14" t="s">
        <v>136</v>
      </c>
      <c r="J10" s="14" t="s">
        <v>97</v>
      </c>
      <c r="K10" s="14" t="s">
        <v>137</v>
      </c>
      <c r="L10" s="14" t="s">
        <v>138</v>
      </c>
      <c r="M10" s="14" t="s">
        <v>139</v>
      </c>
      <c r="N10" s="14" t="s">
        <v>140</v>
      </c>
      <c r="O10" s="14" t="s">
        <v>131</v>
      </c>
      <c r="P10" s="16" t="s">
        <v>141</v>
      </c>
    </row>
    <row r="11" customFormat="false" ht="23.85" hidden="false" customHeight="false" outlineLevel="0" collapsed="false">
      <c r="A11" s="13" t="s">
        <v>142</v>
      </c>
      <c r="B11" s="14" t="s">
        <v>143</v>
      </c>
      <c r="C11" s="14" t="s">
        <v>94</v>
      </c>
      <c r="D11" s="14" t="s">
        <v>144</v>
      </c>
      <c r="E11" s="15" t="n">
        <v>79</v>
      </c>
      <c r="F11" s="14" t="s">
        <v>107</v>
      </c>
      <c r="G11" s="14" t="s">
        <v>145</v>
      </c>
      <c r="H11" s="14" t="s">
        <v>126</v>
      </c>
      <c r="I11" s="14" t="s">
        <v>146</v>
      </c>
      <c r="J11" s="14" t="s">
        <v>97</v>
      </c>
      <c r="K11" s="14" t="s">
        <v>147</v>
      </c>
      <c r="L11" s="14" t="s">
        <v>138</v>
      </c>
      <c r="M11" s="14" t="s">
        <v>148</v>
      </c>
      <c r="N11" s="14" t="s">
        <v>130</v>
      </c>
      <c r="O11" s="14" t="s">
        <v>131</v>
      </c>
      <c r="P11" s="16" t="s">
        <v>149</v>
      </c>
    </row>
    <row r="12" customFormat="false" ht="23.85" hidden="false" customHeight="false" outlineLevel="0" collapsed="false">
      <c r="A12" s="13" t="s">
        <v>142</v>
      </c>
      <c r="B12" s="14" t="s">
        <v>150</v>
      </c>
      <c r="C12" s="14" t="s">
        <v>94</v>
      </c>
      <c r="D12" s="14" t="s">
        <v>151</v>
      </c>
      <c r="E12" s="15" t="n">
        <v>126</v>
      </c>
      <c r="F12" s="14" t="s">
        <v>107</v>
      </c>
      <c r="G12" s="14" t="s">
        <v>145</v>
      </c>
      <c r="H12" s="14" t="s">
        <v>152</v>
      </c>
      <c r="I12" s="14" t="s">
        <v>107</v>
      </c>
      <c r="J12" s="14" t="s">
        <v>97</v>
      </c>
      <c r="K12" s="14" t="s">
        <v>153</v>
      </c>
      <c r="L12" s="14" t="s">
        <v>138</v>
      </c>
      <c r="M12" s="14" t="s">
        <v>148</v>
      </c>
      <c r="N12" s="14" t="s">
        <v>130</v>
      </c>
      <c r="O12" s="14" t="s">
        <v>154</v>
      </c>
      <c r="P12" s="16" t="s">
        <v>155</v>
      </c>
    </row>
    <row r="13" customFormat="false" ht="35.05" hidden="false" customHeight="false" outlineLevel="0" collapsed="false">
      <c r="A13" s="13" t="s">
        <v>142</v>
      </c>
      <c r="B13" s="14" t="s">
        <v>156</v>
      </c>
      <c r="C13" s="14" t="s">
        <v>94</v>
      </c>
      <c r="D13" s="14" t="s">
        <v>157</v>
      </c>
      <c r="E13" s="15" t="n">
        <v>114</v>
      </c>
      <c r="F13" s="14" t="s">
        <v>107</v>
      </c>
      <c r="G13" s="14" t="s">
        <v>97</v>
      </c>
      <c r="H13" s="14" t="s">
        <v>126</v>
      </c>
      <c r="I13" s="14" t="s">
        <v>158</v>
      </c>
      <c r="J13" s="14" t="s">
        <v>97</v>
      </c>
      <c r="K13" s="14" t="s">
        <v>159</v>
      </c>
      <c r="L13" s="14" t="s">
        <v>160</v>
      </c>
      <c r="M13" s="14" t="s">
        <v>161</v>
      </c>
      <c r="N13" s="14" t="s">
        <v>140</v>
      </c>
      <c r="O13" s="14" t="s">
        <v>131</v>
      </c>
      <c r="P13" s="16" t="s">
        <v>162</v>
      </c>
    </row>
    <row r="14" customFormat="false" ht="15" hidden="false" customHeight="false" outlineLevel="0" collapsed="false">
      <c r="A14" s="13" t="s">
        <v>163</v>
      </c>
      <c r="B14" s="14" t="s">
        <v>164</v>
      </c>
      <c r="C14" s="14" t="s">
        <v>94</v>
      </c>
      <c r="D14" s="14" t="s">
        <v>165</v>
      </c>
      <c r="E14" s="15" t="n">
        <v>87</v>
      </c>
      <c r="F14" s="14" t="s">
        <v>107</v>
      </c>
      <c r="G14" s="14" t="s">
        <v>97</v>
      </c>
      <c r="H14" s="14" t="s">
        <v>117</v>
      </c>
      <c r="I14" s="14" t="s">
        <v>107</v>
      </c>
      <c r="J14" s="14" t="s">
        <v>166</v>
      </c>
      <c r="K14" s="14" t="s">
        <v>167</v>
      </c>
      <c r="L14" s="14" t="s">
        <v>101</v>
      </c>
      <c r="M14" s="14" t="s">
        <v>102</v>
      </c>
      <c r="N14" s="14" t="s">
        <v>130</v>
      </c>
      <c r="O14" s="14" t="s">
        <v>131</v>
      </c>
      <c r="P14" s="16" t="s">
        <v>168</v>
      </c>
    </row>
    <row r="15" customFormat="false" ht="15" hidden="false" customHeight="false" outlineLevel="0" collapsed="false">
      <c r="A15" s="13" t="s">
        <v>163</v>
      </c>
      <c r="B15" s="14" t="s">
        <v>169</v>
      </c>
      <c r="C15" s="14" t="s">
        <v>94</v>
      </c>
      <c r="D15" s="14" t="s">
        <v>170</v>
      </c>
      <c r="E15" s="15" t="n">
        <v>99</v>
      </c>
      <c r="F15" s="14" t="s">
        <v>107</v>
      </c>
      <c r="G15" s="14" t="s">
        <v>171</v>
      </c>
      <c r="H15" s="14" t="s">
        <v>154</v>
      </c>
      <c r="I15" s="14" t="s">
        <v>107</v>
      </c>
      <c r="J15" s="14" t="s">
        <v>97</v>
      </c>
      <c r="K15" s="14" t="s">
        <v>172</v>
      </c>
      <c r="L15" s="14" t="s">
        <v>101</v>
      </c>
      <c r="M15" s="14" t="s">
        <v>173</v>
      </c>
      <c r="N15" s="14" t="s">
        <v>130</v>
      </c>
      <c r="O15" s="14" t="s">
        <v>131</v>
      </c>
      <c r="P15" s="16" t="s">
        <v>168</v>
      </c>
    </row>
    <row r="16" customFormat="false" ht="15" hidden="false" customHeight="false" outlineLevel="0" collapsed="false">
      <c r="A16" s="13" t="s">
        <v>163</v>
      </c>
      <c r="B16" s="14" t="s">
        <v>174</v>
      </c>
      <c r="C16" s="14" t="s">
        <v>94</v>
      </c>
      <c r="D16" s="14" t="s">
        <v>170</v>
      </c>
      <c r="E16" s="15" t="n">
        <v>99</v>
      </c>
      <c r="F16" s="14" t="s">
        <v>107</v>
      </c>
      <c r="G16" s="14" t="s">
        <v>171</v>
      </c>
      <c r="H16" s="14" t="s">
        <v>154</v>
      </c>
      <c r="I16" s="14" t="s">
        <v>107</v>
      </c>
      <c r="J16" s="14" t="s">
        <v>97</v>
      </c>
      <c r="K16" s="14" t="s">
        <v>175</v>
      </c>
      <c r="L16" s="14" t="s">
        <v>138</v>
      </c>
      <c r="M16" s="14" t="s">
        <v>176</v>
      </c>
      <c r="N16" s="14" t="s">
        <v>130</v>
      </c>
      <c r="O16" s="14" t="s">
        <v>131</v>
      </c>
      <c r="P16" s="16" t="s">
        <v>177</v>
      </c>
    </row>
    <row r="17" customFormat="false" ht="23.85" hidden="false" customHeight="false" outlineLevel="0" collapsed="false">
      <c r="A17" s="13" t="s">
        <v>163</v>
      </c>
      <c r="B17" s="14" t="s">
        <v>178</v>
      </c>
      <c r="C17" s="14" t="s">
        <v>94</v>
      </c>
      <c r="D17" s="14" t="s">
        <v>179</v>
      </c>
      <c r="E17" s="15" t="n">
        <v>295</v>
      </c>
      <c r="F17" s="14" t="s">
        <v>168</v>
      </c>
      <c r="G17" s="14" t="s">
        <v>168</v>
      </c>
      <c r="H17" s="14" t="s">
        <v>168</v>
      </c>
      <c r="I17" s="14" t="s">
        <v>107</v>
      </c>
      <c r="J17" s="14" t="s">
        <v>180</v>
      </c>
      <c r="K17" s="14" t="s">
        <v>181</v>
      </c>
      <c r="L17" s="14" t="s">
        <v>101</v>
      </c>
      <c r="M17" s="14" t="s">
        <v>120</v>
      </c>
      <c r="N17" s="14" t="s">
        <v>130</v>
      </c>
      <c r="O17" s="14" t="s">
        <v>131</v>
      </c>
      <c r="P17" s="16" t="s">
        <v>182</v>
      </c>
    </row>
    <row r="18" customFormat="false" ht="23.85" hidden="false" customHeight="false" outlineLevel="0" collapsed="false">
      <c r="A18" s="13" t="s">
        <v>183</v>
      </c>
      <c r="B18" s="14" t="s">
        <v>184</v>
      </c>
      <c r="C18" s="14" t="s">
        <v>94</v>
      </c>
      <c r="D18" s="14" t="s">
        <v>185</v>
      </c>
      <c r="E18" s="15" t="n">
        <v>59</v>
      </c>
      <c r="F18" s="14" t="s">
        <v>96</v>
      </c>
      <c r="G18" s="14" t="s">
        <v>145</v>
      </c>
      <c r="H18" s="14" t="s">
        <v>131</v>
      </c>
      <c r="I18" s="14" t="s">
        <v>96</v>
      </c>
      <c r="J18" s="14" t="s">
        <v>97</v>
      </c>
      <c r="K18" s="14" t="s">
        <v>175</v>
      </c>
      <c r="L18" s="14" t="s">
        <v>138</v>
      </c>
      <c r="M18" s="14" t="s">
        <v>186</v>
      </c>
      <c r="N18" s="14" t="s">
        <v>140</v>
      </c>
      <c r="O18" s="14" t="s">
        <v>154</v>
      </c>
      <c r="P18" s="16" t="s">
        <v>187</v>
      </c>
    </row>
    <row r="19" customFormat="false" ht="23.85" hidden="false" customHeight="false" outlineLevel="0" collapsed="false">
      <c r="A19" s="13" t="s">
        <v>183</v>
      </c>
      <c r="B19" s="14" t="s">
        <v>188</v>
      </c>
      <c r="C19" s="14" t="s">
        <v>94</v>
      </c>
      <c r="D19" s="14" t="s">
        <v>189</v>
      </c>
      <c r="E19" s="15" t="n">
        <v>85</v>
      </c>
      <c r="F19" s="14" t="s">
        <v>107</v>
      </c>
      <c r="G19" s="14" t="s">
        <v>190</v>
      </c>
      <c r="H19" s="14" t="s">
        <v>154</v>
      </c>
      <c r="I19" s="14" t="s">
        <v>107</v>
      </c>
      <c r="J19" s="14" t="s">
        <v>97</v>
      </c>
      <c r="K19" s="14" t="s">
        <v>191</v>
      </c>
      <c r="L19" s="14" t="s">
        <v>101</v>
      </c>
      <c r="M19" s="14" t="s">
        <v>102</v>
      </c>
      <c r="N19" s="14" t="s">
        <v>140</v>
      </c>
      <c r="O19" s="14" t="s">
        <v>154</v>
      </c>
      <c r="P19" s="16" t="s">
        <v>192</v>
      </c>
    </row>
    <row r="20" customFormat="false" ht="35.05" hidden="false" customHeight="false" outlineLevel="0" collapsed="false">
      <c r="A20" s="13" t="s">
        <v>193</v>
      </c>
      <c r="B20" s="14" t="s">
        <v>194</v>
      </c>
      <c r="C20" s="14" t="s">
        <v>94</v>
      </c>
      <c r="D20" s="14" t="s">
        <v>195</v>
      </c>
      <c r="E20" s="15" t="n">
        <v>90</v>
      </c>
      <c r="F20" s="14" t="s">
        <v>107</v>
      </c>
      <c r="G20" s="14" t="s">
        <v>99</v>
      </c>
      <c r="H20" s="14" t="s">
        <v>126</v>
      </c>
      <c r="I20" s="14" t="s">
        <v>107</v>
      </c>
      <c r="J20" s="14" t="s">
        <v>97</v>
      </c>
      <c r="K20" s="14" t="s">
        <v>191</v>
      </c>
      <c r="L20" s="14" t="s">
        <v>101</v>
      </c>
      <c r="M20" s="14" t="s">
        <v>120</v>
      </c>
      <c r="N20" s="14" t="s">
        <v>130</v>
      </c>
      <c r="O20" s="14" t="s">
        <v>131</v>
      </c>
      <c r="P20" s="16" t="s">
        <v>196</v>
      </c>
    </row>
    <row r="21" customFormat="false" ht="23.85" hidden="false" customHeight="false" outlineLevel="0" collapsed="false">
      <c r="A21" s="13" t="s">
        <v>193</v>
      </c>
      <c r="B21" s="14" t="s">
        <v>197</v>
      </c>
      <c r="C21" s="14" t="s">
        <v>94</v>
      </c>
      <c r="D21" s="14" t="s">
        <v>198</v>
      </c>
      <c r="E21" s="15" t="n">
        <v>115</v>
      </c>
      <c r="F21" s="14" t="s">
        <v>107</v>
      </c>
      <c r="G21" s="14" t="s">
        <v>97</v>
      </c>
      <c r="H21" s="14" t="s">
        <v>117</v>
      </c>
      <c r="I21" s="14" t="s">
        <v>107</v>
      </c>
      <c r="J21" s="14" t="s">
        <v>171</v>
      </c>
      <c r="K21" s="14" t="s">
        <v>199</v>
      </c>
      <c r="L21" s="14" t="s">
        <v>200</v>
      </c>
      <c r="M21" s="14" t="s">
        <v>120</v>
      </c>
      <c r="N21" s="14" t="s">
        <v>130</v>
      </c>
      <c r="O21" s="14" t="s">
        <v>131</v>
      </c>
      <c r="P21" s="16" t="s">
        <v>201</v>
      </c>
    </row>
    <row r="22" customFormat="false" ht="15" hidden="false" customHeight="false" outlineLevel="0" collapsed="false">
      <c r="A22" s="13" t="s">
        <v>193</v>
      </c>
      <c r="B22" s="14" t="s">
        <v>202</v>
      </c>
      <c r="C22" s="14" t="s">
        <v>94</v>
      </c>
      <c r="D22" s="14" t="s">
        <v>203</v>
      </c>
      <c r="E22" s="15" t="n">
        <v>95</v>
      </c>
      <c r="F22" s="14" t="s">
        <v>96</v>
      </c>
      <c r="G22" s="14" t="s">
        <v>204</v>
      </c>
      <c r="H22" s="14" t="s">
        <v>126</v>
      </c>
      <c r="I22" s="14" t="s">
        <v>96</v>
      </c>
      <c r="J22" s="14" t="s">
        <v>204</v>
      </c>
      <c r="K22" s="14" t="s">
        <v>205</v>
      </c>
      <c r="L22" s="14" t="s">
        <v>138</v>
      </c>
      <c r="M22" s="14" t="s">
        <v>206</v>
      </c>
      <c r="N22" s="14" t="s">
        <v>130</v>
      </c>
      <c r="O22" s="14" t="s">
        <v>131</v>
      </c>
      <c r="P22" s="16" t="s">
        <v>207</v>
      </c>
    </row>
    <row r="23" customFormat="false" ht="15" hidden="false" customHeight="false" outlineLevel="0" collapsed="false">
      <c r="A23" s="13" t="s">
        <v>193</v>
      </c>
      <c r="B23" s="14" t="s">
        <v>208</v>
      </c>
      <c r="C23" s="14" t="s">
        <v>94</v>
      </c>
      <c r="D23" s="14" t="s">
        <v>209</v>
      </c>
      <c r="E23" s="15" t="n">
        <v>364</v>
      </c>
      <c r="F23" s="14" t="s">
        <v>168</v>
      </c>
      <c r="G23" s="14" t="s">
        <v>168</v>
      </c>
      <c r="H23" s="14" t="s">
        <v>168</v>
      </c>
      <c r="I23" s="14" t="s">
        <v>96</v>
      </c>
      <c r="J23" s="14" t="s">
        <v>204</v>
      </c>
      <c r="K23" s="14" t="s">
        <v>181</v>
      </c>
      <c r="L23" s="14" t="s">
        <v>101</v>
      </c>
      <c r="M23" s="14" t="s">
        <v>120</v>
      </c>
      <c r="N23" s="14" t="s">
        <v>130</v>
      </c>
      <c r="O23" s="14" t="s">
        <v>131</v>
      </c>
      <c r="P23" s="16" t="s">
        <v>210</v>
      </c>
    </row>
    <row r="24" customFormat="false" ht="23.85" hidden="false" customHeight="false" outlineLevel="0" collapsed="false">
      <c r="A24" s="13" t="s">
        <v>211</v>
      </c>
      <c r="B24" s="14" t="s">
        <v>212</v>
      </c>
      <c r="C24" s="14" t="s">
        <v>94</v>
      </c>
      <c r="D24" s="14" t="s">
        <v>213</v>
      </c>
      <c r="E24" s="15" t="n">
        <v>70</v>
      </c>
      <c r="F24" s="14" t="s">
        <v>125</v>
      </c>
      <c r="G24" s="14" t="s">
        <v>171</v>
      </c>
      <c r="H24" s="14" t="s">
        <v>154</v>
      </c>
      <c r="I24" s="14" t="s">
        <v>107</v>
      </c>
      <c r="J24" s="14" t="s">
        <v>97</v>
      </c>
      <c r="K24" s="14" t="s">
        <v>214</v>
      </c>
      <c r="L24" s="14" t="s">
        <v>101</v>
      </c>
      <c r="M24" s="14" t="s">
        <v>215</v>
      </c>
      <c r="N24" s="14" t="s">
        <v>216</v>
      </c>
      <c r="O24" s="14" t="s">
        <v>131</v>
      </c>
      <c r="P24" s="16" t="s">
        <v>217</v>
      </c>
    </row>
    <row r="25" customFormat="false" ht="23.85" hidden="false" customHeight="false" outlineLevel="0" collapsed="false">
      <c r="A25" s="13" t="s">
        <v>211</v>
      </c>
      <c r="B25" s="14" t="s">
        <v>218</v>
      </c>
      <c r="C25" s="14" t="s">
        <v>94</v>
      </c>
      <c r="D25" s="14" t="s">
        <v>219</v>
      </c>
      <c r="E25" s="15" t="n">
        <v>150</v>
      </c>
      <c r="F25" s="14" t="s">
        <v>107</v>
      </c>
      <c r="G25" s="14" t="s">
        <v>97</v>
      </c>
      <c r="H25" s="14" t="s">
        <v>98</v>
      </c>
      <c r="I25" s="14" t="s">
        <v>107</v>
      </c>
      <c r="J25" s="14" t="s">
        <v>171</v>
      </c>
      <c r="K25" s="14" t="s">
        <v>220</v>
      </c>
      <c r="L25" s="14" t="s">
        <v>200</v>
      </c>
      <c r="M25" s="14" t="s">
        <v>221</v>
      </c>
      <c r="N25" s="14" t="s">
        <v>130</v>
      </c>
      <c r="O25" s="14" t="s">
        <v>131</v>
      </c>
      <c r="P25" s="16" t="s">
        <v>222</v>
      </c>
    </row>
    <row r="26" customFormat="false" ht="35.05" hidden="false" customHeight="false" outlineLevel="0" collapsed="false">
      <c r="A26" s="13" t="s">
        <v>211</v>
      </c>
      <c r="B26" s="14" t="s">
        <v>223</v>
      </c>
      <c r="C26" s="14" t="s">
        <v>94</v>
      </c>
      <c r="D26" s="14" t="s">
        <v>219</v>
      </c>
      <c r="E26" s="15" t="n">
        <v>150</v>
      </c>
      <c r="F26" s="14" t="s">
        <v>224</v>
      </c>
      <c r="G26" s="14" t="s">
        <v>97</v>
      </c>
      <c r="H26" s="14" t="s">
        <v>98</v>
      </c>
      <c r="I26" s="14" t="s">
        <v>225</v>
      </c>
      <c r="J26" s="14" t="s">
        <v>97</v>
      </c>
      <c r="K26" s="14" t="s">
        <v>226</v>
      </c>
      <c r="L26" s="14" t="s">
        <v>138</v>
      </c>
      <c r="M26" s="14" t="s">
        <v>221</v>
      </c>
      <c r="N26" s="14" t="s">
        <v>130</v>
      </c>
      <c r="O26" s="14" t="s">
        <v>131</v>
      </c>
      <c r="P26" s="16" t="s">
        <v>227</v>
      </c>
    </row>
    <row r="27" customFormat="false" ht="15" hidden="false" customHeight="false" outlineLevel="0" collapsed="false">
      <c r="A27" s="13" t="s">
        <v>211</v>
      </c>
      <c r="B27" s="14" t="s">
        <v>114</v>
      </c>
      <c r="C27" s="14" t="s">
        <v>94</v>
      </c>
      <c r="D27" s="14" t="s">
        <v>228</v>
      </c>
      <c r="E27" s="15" t="n">
        <v>190</v>
      </c>
      <c r="F27" s="14" t="s">
        <v>107</v>
      </c>
      <c r="G27" s="14" t="s">
        <v>171</v>
      </c>
      <c r="H27" s="14" t="s">
        <v>154</v>
      </c>
      <c r="I27" s="14" t="s">
        <v>107</v>
      </c>
      <c r="J27" s="14" t="s">
        <v>97</v>
      </c>
      <c r="K27" s="14" t="s">
        <v>229</v>
      </c>
      <c r="L27" s="14" t="s">
        <v>101</v>
      </c>
      <c r="M27" s="14" t="s">
        <v>230</v>
      </c>
      <c r="N27" s="14" t="s">
        <v>140</v>
      </c>
      <c r="O27" s="14" t="s">
        <v>131</v>
      </c>
      <c r="P27" s="16" t="s">
        <v>231</v>
      </c>
    </row>
    <row r="28" customFormat="false" ht="35.05" hidden="false" customHeight="false" outlineLevel="0" collapsed="false">
      <c r="A28" s="13" t="s">
        <v>232</v>
      </c>
      <c r="B28" s="14" t="s">
        <v>233</v>
      </c>
      <c r="C28" s="14" t="s">
        <v>94</v>
      </c>
      <c r="D28" s="14" t="s">
        <v>234</v>
      </c>
      <c r="E28" s="15" t="n">
        <v>80</v>
      </c>
      <c r="F28" s="14" t="s">
        <v>107</v>
      </c>
      <c r="G28" s="14" t="s">
        <v>235</v>
      </c>
      <c r="H28" s="14" t="s">
        <v>117</v>
      </c>
      <c r="I28" s="14" t="s">
        <v>107</v>
      </c>
      <c r="J28" s="14" t="s">
        <v>235</v>
      </c>
      <c r="K28" s="14" t="s">
        <v>236</v>
      </c>
      <c r="L28" s="14" t="s">
        <v>237</v>
      </c>
      <c r="M28" s="14" t="s">
        <v>102</v>
      </c>
      <c r="N28" s="14" t="s">
        <v>140</v>
      </c>
      <c r="O28" s="14" t="s">
        <v>131</v>
      </c>
      <c r="P28" s="16" t="s">
        <v>238</v>
      </c>
    </row>
    <row r="29" customFormat="false" ht="23.85" hidden="false" customHeight="false" outlineLevel="0" collapsed="false">
      <c r="A29" s="13" t="s">
        <v>232</v>
      </c>
      <c r="B29" s="14" t="s">
        <v>239</v>
      </c>
      <c r="C29" s="14" t="s">
        <v>94</v>
      </c>
      <c r="D29" s="14" t="s">
        <v>240</v>
      </c>
      <c r="E29" s="15" t="n">
        <v>96</v>
      </c>
      <c r="F29" s="14" t="s">
        <v>107</v>
      </c>
      <c r="G29" s="14" t="s">
        <v>235</v>
      </c>
      <c r="H29" s="14" t="s">
        <v>117</v>
      </c>
      <c r="I29" s="14" t="s">
        <v>107</v>
      </c>
      <c r="J29" s="14" t="s">
        <v>235</v>
      </c>
      <c r="K29" s="14" t="s">
        <v>241</v>
      </c>
      <c r="L29" s="14" t="s">
        <v>160</v>
      </c>
      <c r="M29" s="14" t="s">
        <v>102</v>
      </c>
      <c r="N29" s="14" t="s">
        <v>140</v>
      </c>
      <c r="O29" s="14" t="s">
        <v>131</v>
      </c>
      <c r="P29" s="16" t="s">
        <v>242</v>
      </c>
    </row>
    <row r="30" customFormat="false" ht="35.05" hidden="false" customHeight="false" outlineLevel="0" collapsed="false">
      <c r="A30" s="13" t="s">
        <v>243</v>
      </c>
      <c r="B30" s="14" t="s">
        <v>244</v>
      </c>
      <c r="C30" s="14" t="s">
        <v>94</v>
      </c>
      <c r="D30" s="14" t="s">
        <v>245</v>
      </c>
      <c r="E30" s="15" t="n">
        <v>120</v>
      </c>
      <c r="F30" s="14" t="s">
        <v>246</v>
      </c>
      <c r="G30" s="14" t="s">
        <v>97</v>
      </c>
      <c r="H30" s="14" t="s">
        <v>117</v>
      </c>
      <c r="I30" s="14" t="s">
        <v>247</v>
      </c>
      <c r="J30" s="14" t="s">
        <v>248</v>
      </c>
      <c r="K30" s="14" t="s">
        <v>249</v>
      </c>
      <c r="L30" s="14" t="s">
        <v>200</v>
      </c>
      <c r="M30" s="14" t="s">
        <v>250</v>
      </c>
      <c r="N30" s="14" t="s">
        <v>140</v>
      </c>
      <c r="O30" s="14" t="s">
        <v>131</v>
      </c>
      <c r="P30" s="16" t="s">
        <v>251</v>
      </c>
    </row>
    <row r="31" customFormat="false" ht="35.05" hidden="false" customHeight="false" outlineLevel="0" collapsed="false">
      <c r="A31" s="13" t="s">
        <v>243</v>
      </c>
      <c r="B31" s="14" t="s">
        <v>252</v>
      </c>
      <c r="C31" s="14" t="s">
        <v>94</v>
      </c>
      <c r="D31" s="14" t="s">
        <v>253</v>
      </c>
      <c r="E31" s="15" t="n">
        <v>116</v>
      </c>
      <c r="F31" s="14" t="s">
        <v>107</v>
      </c>
      <c r="G31" s="14" t="s">
        <v>254</v>
      </c>
      <c r="H31" s="14" t="s">
        <v>154</v>
      </c>
      <c r="I31" s="14" t="s">
        <v>107</v>
      </c>
      <c r="J31" s="14" t="s">
        <v>97</v>
      </c>
      <c r="K31" s="14" t="s">
        <v>205</v>
      </c>
      <c r="L31" s="14" t="s">
        <v>138</v>
      </c>
      <c r="M31" s="14" t="s">
        <v>176</v>
      </c>
      <c r="N31" s="14" t="s">
        <v>255</v>
      </c>
      <c r="O31" s="14" t="s">
        <v>154</v>
      </c>
      <c r="P31" s="16" t="s">
        <v>256</v>
      </c>
    </row>
    <row r="32" customFormat="false" ht="15" hidden="false" customHeight="false" outlineLevel="0" collapsed="false">
      <c r="A32" s="13" t="s">
        <v>257</v>
      </c>
      <c r="B32" s="14" t="s">
        <v>258</v>
      </c>
      <c r="C32" s="14" t="s">
        <v>94</v>
      </c>
      <c r="D32" s="14" t="s">
        <v>259</v>
      </c>
      <c r="E32" s="15" t="n">
        <v>112</v>
      </c>
      <c r="F32" s="14" t="s">
        <v>107</v>
      </c>
      <c r="G32" s="14" t="s">
        <v>260</v>
      </c>
      <c r="H32" s="14" t="s">
        <v>154</v>
      </c>
      <c r="I32" s="14" t="s">
        <v>107</v>
      </c>
      <c r="J32" s="14" t="s">
        <v>260</v>
      </c>
      <c r="K32" s="14" t="s">
        <v>205</v>
      </c>
      <c r="L32" s="14" t="s">
        <v>138</v>
      </c>
      <c r="M32" s="14" t="s">
        <v>261</v>
      </c>
      <c r="N32" s="14" t="s">
        <v>130</v>
      </c>
      <c r="O32" s="14" t="s">
        <v>154</v>
      </c>
      <c r="P32" s="16" t="s">
        <v>262</v>
      </c>
    </row>
    <row r="33" customFormat="false" ht="15" hidden="false" customHeight="false" outlineLevel="0" collapsed="false">
      <c r="A33" s="13" t="s">
        <v>257</v>
      </c>
      <c r="B33" s="14" t="s">
        <v>263</v>
      </c>
      <c r="C33" s="14" t="s">
        <v>94</v>
      </c>
      <c r="D33" s="14" t="s">
        <v>264</v>
      </c>
      <c r="E33" s="15" t="n">
        <v>129</v>
      </c>
      <c r="F33" s="14" t="s">
        <v>107</v>
      </c>
      <c r="G33" s="14" t="s">
        <v>260</v>
      </c>
      <c r="H33" s="14" t="s">
        <v>126</v>
      </c>
      <c r="I33" s="14" t="s">
        <v>107</v>
      </c>
      <c r="J33" s="14" t="s">
        <v>260</v>
      </c>
      <c r="K33" s="14" t="s">
        <v>205</v>
      </c>
      <c r="L33" s="14" t="s">
        <v>138</v>
      </c>
      <c r="M33" s="14" t="s">
        <v>261</v>
      </c>
      <c r="N33" s="14" t="s">
        <v>130</v>
      </c>
      <c r="O33" s="14" t="s">
        <v>154</v>
      </c>
      <c r="P33" s="16" t="s">
        <v>265</v>
      </c>
    </row>
    <row r="34" customFormat="false" ht="23.85" hidden="false" customHeight="false" outlineLevel="0" collapsed="false">
      <c r="A34" s="13" t="s">
        <v>266</v>
      </c>
      <c r="B34" s="14" t="s">
        <v>267</v>
      </c>
      <c r="C34" s="14" t="s">
        <v>94</v>
      </c>
      <c r="D34" s="14" t="s">
        <v>268</v>
      </c>
      <c r="E34" s="15" t="n">
        <v>121</v>
      </c>
      <c r="F34" s="14" t="s">
        <v>269</v>
      </c>
      <c r="G34" s="14" t="s">
        <v>260</v>
      </c>
      <c r="H34" s="14" t="s">
        <v>154</v>
      </c>
      <c r="I34" s="14" t="s">
        <v>116</v>
      </c>
      <c r="J34" s="14" t="s">
        <v>260</v>
      </c>
      <c r="K34" s="14" t="s">
        <v>205</v>
      </c>
      <c r="L34" s="14" t="s">
        <v>101</v>
      </c>
      <c r="M34" s="14" t="s">
        <v>120</v>
      </c>
      <c r="N34" s="14" t="s">
        <v>130</v>
      </c>
      <c r="O34" s="14" t="s">
        <v>131</v>
      </c>
      <c r="P34" s="16" t="s">
        <v>270</v>
      </c>
    </row>
    <row r="35" customFormat="false" ht="23.85" hidden="false" customHeight="false" outlineLevel="0" collapsed="false">
      <c r="A35" s="13" t="s">
        <v>266</v>
      </c>
      <c r="B35" s="14" t="s">
        <v>271</v>
      </c>
      <c r="C35" s="14" t="s">
        <v>94</v>
      </c>
      <c r="D35" s="14" t="s">
        <v>264</v>
      </c>
      <c r="E35" s="15" t="n">
        <v>129</v>
      </c>
      <c r="F35" s="14" t="s">
        <v>116</v>
      </c>
      <c r="G35" s="14" t="s">
        <v>260</v>
      </c>
      <c r="H35" s="14" t="s">
        <v>117</v>
      </c>
      <c r="I35" s="14" t="s">
        <v>116</v>
      </c>
      <c r="J35" s="14" t="s">
        <v>260</v>
      </c>
      <c r="K35" s="14" t="s">
        <v>205</v>
      </c>
      <c r="L35" s="14" t="s">
        <v>272</v>
      </c>
      <c r="M35" s="14" t="s">
        <v>273</v>
      </c>
      <c r="N35" s="14" t="s">
        <v>130</v>
      </c>
      <c r="O35" s="14" t="s">
        <v>131</v>
      </c>
      <c r="P35" s="16" t="s">
        <v>168</v>
      </c>
    </row>
    <row r="36" customFormat="false" ht="23.85" hidden="false" customHeight="false" outlineLevel="0" collapsed="false">
      <c r="A36" s="13" t="s">
        <v>274</v>
      </c>
      <c r="B36" s="14" t="s">
        <v>275</v>
      </c>
      <c r="C36" s="14" t="s">
        <v>94</v>
      </c>
      <c r="D36" s="14" t="s">
        <v>276</v>
      </c>
      <c r="E36" s="15" t="n">
        <v>116</v>
      </c>
      <c r="F36" s="14" t="s">
        <v>96</v>
      </c>
      <c r="G36" s="14" t="s">
        <v>260</v>
      </c>
      <c r="H36" s="14" t="s">
        <v>154</v>
      </c>
      <c r="I36" s="14" t="s">
        <v>96</v>
      </c>
      <c r="J36" s="14" t="s">
        <v>260</v>
      </c>
      <c r="K36" s="14" t="s">
        <v>205</v>
      </c>
      <c r="L36" s="14" t="s">
        <v>277</v>
      </c>
      <c r="M36" s="14" t="s">
        <v>120</v>
      </c>
      <c r="N36" s="14" t="s">
        <v>140</v>
      </c>
      <c r="O36" s="14" t="s">
        <v>131</v>
      </c>
      <c r="P36" s="16" t="s">
        <v>278</v>
      </c>
    </row>
    <row r="37" customFormat="false" ht="35.05" hidden="false" customHeight="false" outlineLevel="0" collapsed="false">
      <c r="A37" s="13" t="s">
        <v>274</v>
      </c>
      <c r="B37" s="14" t="s">
        <v>279</v>
      </c>
      <c r="C37" s="14" t="s">
        <v>94</v>
      </c>
      <c r="D37" s="14" t="s">
        <v>280</v>
      </c>
      <c r="E37" s="15" t="n">
        <v>145</v>
      </c>
      <c r="F37" s="14" t="s">
        <v>281</v>
      </c>
      <c r="G37" s="14" t="s">
        <v>97</v>
      </c>
      <c r="H37" s="14" t="s">
        <v>117</v>
      </c>
      <c r="I37" s="14" t="s">
        <v>282</v>
      </c>
      <c r="J37" s="14" t="s">
        <v>97</v>
      </c>
      <c r="K37" s="14" t="s">
        <v>283</v>
      </c>
      <c r="L37" s="14" t="s">
        <v>101</v>
      </c>
      <c r="M37" s="14" t="s">
        <v>284</v>
      </c>
      <c r="N37" s="14" t="s">
        <v>140</v>
      </c>
      <c r="O37" s="14" t="s">
        <v>131</v>
      </c>
      <c r="P37" s="16" t="s">
        <v>285</v>
      </c>
    </row>
    <row r="38" customFormat="false" ht="35.05" hidden="false" customHeight="false" outlineLevel="0" collapsed="false">
      <c r="A38" s="13" t="s">
        <v>286</v>
      </c>
      <c r="B38" s="14" t="s">
        <v>287</v>
      </c>
      <c r="C38" s="14" t="s">
        <v>94</v>
      </c>
      <c r="D38" s="14" t="s">
        <v>288</v>
      </c>
      <c r="E38" s="15" t="n">
        <v>167</v>
      </c>
      <c r="F38" s="14" t="s">
        <v>289</v>
      </c>
      <c r="G38" s="14" t="s">
        <v>97</v>
      </c>
      <c r="H38" s="14" t="s">
        <v>98</v>
      </c>
      <c r="I38" s="14" t="s">
        <v>290</v>
      </c>
      <c r="J38" s="14" t="s">
        <v>171</v>
      </c>
      <c r="K38" s="14" t="s">
        <v>291</v>
      </c>
      <c r="L38" s="14" t="s">
        <v>277</v>
      </c>
      <c r="M38" s="14" t="s">
        <v>292</v>
      </c>
      <c r="N38" s="14" t="s">
        <v>293</v>
      </c>
      <c r="O38" s="14" t="s">
        <v>294</v>
      </c>
      <c r="P38" s="16" t="s">
        <v>295</v>
      </c>
    </row>
    <row r="39" customFormat="false" ht="23.85" hidden="false" customHeight="false" outlineLevel="0" collapsed="false">
      <c r="A39" s="13" t="s">
        <v>286</v>
      </c>
      <c r="B39" s="14" t="s">
        <v>296</v>
      </c>
      <c r="C39" s="14" t="s">
        <v>94</v>
      </c>
      <c r="D39" s="14" t="s">
        <v>297</v>
      </c>
      <c r="E39" s="15" t="n">
        <v>192</v>
      </c>
      <c r="F39" s="14" t="s">
        <v>225</v>
      </c>
      <c r="G39" s="14" t="s">
        <v>97</v>
      </c>
      <c r="H39" s="14" t="s">
        <v>98</v>
      </c>
      <c r="I39" s="14" t="s">
        <v>290</v>
      </c>
      <c r="J39" s="14" t="s">
        <v>171</v>
      </c>
      <c r="K39" s="14" t="s">
        <v>298</v>
      </c>
      <c r="L39" s="14" t="s">
        <v>277</v>
      </c>
      <c r="M39" s="14" t="s">
        <v>299</v>
      </c>
      <c r="N39" s="14" t="s">
        <v>300</v>
      </c>
      <c r="O39" s="14" t="s">
        <v>294</v>
      </c>
      <c r="P39" s="16" t="s">
        <v>301</v>
      </c>
    </row>
    <row r="40" customFormat="false" ht="35.05" hidden="false" customHeight="false" outlineLevel="0" collapsed="false">
      <c r="A40" s="13" t="s">
        <v>302</v>
      </c>
      <c r="B40" s="14" t="s">
        <v>281</v>
      </c>
      <c r="C40" s="14" t="s">
        <v>94</v>
      </c>
      <c r="D40" s="14" t="s">
        <v>303</v>
      </c>
      <c r="E40" s="15" t="n">
        <v>119</v>
      </c>
      <c r="F40" s="14" t="s">
        <v>304</v>
      </c>
      <c r="G40" s="14" t="s">
        <v>260</v>
      </c>
      <c r="H40" s="14" t="s">
        <v>126</v>
      </c>
      <c r="I40" s="14" t="s">
        <v>281</v>
      </c>
      <c r="J40" s="14" t="s">
        <v>260</v>
      </c>
      <c r="K40" s="14" t="s">
        <v>205</v>
      </c>
      <c r="L40" s="14" t="s">
        <v>119</v>
      </c>
      <c r="M40" s="14" t="s">
        <v>120</v>
      </c>
      <c r="N40" s="14" t="s">
        <v>103</v>
      </c>
      <c r="O40" s="14" t="s">
        <v>305</v>
      </c>
      <c r="P40" s="16" t="s">
        <v>306</v>
      </c>
    </row>
    <row r="41" customFormat="false" ht="15" hidden="false" customHeight="false" outlineLevel="0" collapsed="false">
      <c r="A41" s="13" t="s">
        <v>302</v>
      </c>
      <c r="B41" s="14" t="s">
        <v>307</v>
      </c>
      <c r="C41" s="14" t="s">
        <v>94</v>
      </c>
      <c r="D41" s="14" t="s">
        <v>308</v>
      </c>
      <c r="E41" s="15" t="n">
        <v>342</v>
      </c>
      <c r="F41" s="14" t="s">
        <v>168</v>
      </c>
      <c r="G41" s="14" t="s">
        <v>168</v>
      </c>
      <c r="H41" s="14" t="s">
        <v>168</v>
      </c>
      <c r="I41" s="14" t="s">
        <v>116</v>
      </c>
      <c r="J41" s="14" t="s">
        <v>260</v>
      </c>
      <c r="K41" s="14" t="s">
        <v>309</v>
      </c>
      <c r="L41" s="14" t="s">
        <v>277</v>
      </c>
      <c r="M41" s="14" t="s">
        <v>120</v>
      </c>
      <c r="N41" s="14" t="s">
        <v>103</v>
      </c>
      <c r="O41" s="14" t="s">
        <v>131</v>
      </c>
      <c r="P41" s="16" t="s">
        <v>210</v>
      </c>
    </row>
    <row r="42" customFormat="false" ht="23.85" hidden="false" customHeight="false" outlineLevel="0" collapsed="false">
      <c r="A42" s="13" t="s">
        <v>310</v>
      </c>
      <c r="B42" s="14" t="s">
        <v>311</v>
      </c>
      <c r="C42" s="14" t="s">
        <v>94</v>
      </c>
      <c r="D42" s="14" t="s">
        <v>312</v>
      </c>
      <c r="E42" s="15" t="n">
        <v>109</v>
      </c>
      <c r="F42" s="14" t="s">
        <v>107</v>
      </c>
      <c r="G42" s="14" t="s">
        <v>313</v>
      </c>
      <c r="H42" s="14" t="s">
        <v>117</v>
      </c>
      <c r="I42" s="14" t="s">
        <v>107</v>
      </c>
      <c r="J42" s="14" t="s">
        <v>314</v>
      </c>
      <c r="K42" s="14" t="s">
        <v>172</v>
      </c>
      <c r="L42" s="14" t="s">
        <v>101</v>
      </c>
      <c r="M42" s="14" t="s">
        <v>315</v>
      </c>
      <c r="N42" s="14" t="s">
        <v>130</v>
      </c>
      <c r="O42" s="14" t="s">
        <v>104</v>
      </c>
      <c r="P42" s="16" t="s">
        <v>316</v>
      </c>
    </row>
    <row r="43" customFormat="false" ht="15" hidden="false" customHeight="false" outlineLevel="0" collapsed="false">
      <c r="A43" s="13" t="s">
        <v>310</v>
      </c>
      <c r="B43" s="14" t="s">
        <v>317</v>
      </c>
      <c r="C43" s="14" t="s">
        <v>94</v>
      </c>
      <c r="D43" s="14" t="s">
        <v>318</v>
      </c>
      <c r="E43" s="15" t="n">
        <v>412</v>
      </c>
      <c r="F43" s="14" t="s">
        <v>168</v>
      </c>
      <c r="G43" s="14" t="s">
        <v>168</v>
      </c>
      <c r="H43" s="14" t="s">
        <v>168</v>
      </c>
      <c r="I43" s="14" t="s">
        <v>96</v>
      </c>
      <c r="J43" s="14" t="s">
        <v>171</v>
      </c>
      <c r="K43" s="14" t="s">
        <v>309</v>
      </c>
      <c r="L43" s="14" t="s">
        <v>101</v>
      </c>
      <c r="M43" s="14" t="s">
        <v>261</v>
      </c>
      <c r="N43" s="14" t="s">
        <v>140</v>
      </c>
      <c r="O43" s="14" t="s">
        <v>104</v>
      </c>
      <c r="P43" s="16" t="s">
        <v>210</v>
      </c>
    </row>
    <row r="44" customFormat="false" ht="23.85" hidden="false" customHeight="false" outlineLevel="0" collapsed="false">
      <c r="A44" s="17" t="s">
        <v>319</v>
      </c>
      <c r="B44" s="18" t="s">
        <v>320</v>
      </c>
      <c r="C44" s="18" t="s">
        <v>94</v>
      </c>
      <c r="D44" s="18" t="s">
        <v>321</v>
      </c>
      <c r="E44" s="19" t="n">
        <v>79</v>
      </c>
      <c r="F44" s="18" t="s">
        <v>107</v>
      </c>
      <c r="G44" s="18" t="s">
        <v>97</v>
      </c>
      <c r="H44" s="18" t="s">
        <v>117</v>
      </c>
      <c r="I44" s="18" t="s">
        <v>107</v>
      </c>
      <c r="J44" s="18" t="s">
        <v>145</v>
      </c>
      <c r="K44" s="18" t="s">
        <v>322</v>
      </c>
      <c r="L44" s="18" t="s">
        <v>101</v>
      </c>
      <c r="M44" s="18" t="s">
        <v>102</v>
      </c>
      <c r="N44" s="18" t="s">
        <v>130</v>
      </c>
      <c r="O44" s="18" t="s">
        <v>323</v>
      </c>
      <c r="P44" s="20" t="s">
        <v>324</v>
      </c>
    </row>
    <row r="45" customFormat="false" ht="15" hidden="false" customHeight="false" outlineLevel="0" collapsed="false">
      <c r="A45" s="17" t="s">
        <v>319</v>
      </c>
      <c r="B45" s="18" t="s">
        <v>223</v>
      </c>
      <c r="C45" s="18" t="s">
        <v>94</v>
      </c>
      <c r="D45" s="18" t="s">
        <v>325</v>
      </c>
      <c r="E45" s="19" t="n">
        <v>88</v>
      </c>
      <c r="F45" s="18" t="s">
        <v>107</v>
      </c>
      <c r="G45" s="18" t="s">
        <v>145</v>
      </c>
      <c r="H45" s="18" t="s">
        <v>126</v>
      </c>
      <c r="I45" s="18" t="s">
        <v>107</v>
      </c>
      <c r="J45" s="18" t="s">
        <v>171</v>
      </c>
      <c r="K45" s="18" t="s">
        <v>326</v>
      </c>
      <c r="L45" s="18" t="s">
        <v>138</v>
      </c>
      <c r="M45" s="18" t="s">
        <v>176</v>
      </c>
      <c r="N45" s="18" t="s">
        <v>130</v>
      </c>
      <c r="O45" s="18" t="s">
        <v>131</v>
      </c>
      <c r="P45" s="20" t="s">
        <v>327</v>
      </c>
    </row>
    <row r="46" customFormat="false" ht="15" hidden="false" customHeight="false" outlineLevel="0" collapsed="false">
      <c r="A46" s="17" t="s">
        <v>319</v>
      </c>
      <c r="B46" s="18" t="s">
        <v>208</v>
      </c>
      <c r="C46" s="18" t="s">
        <v>94</v>
      </c>
      <c r="D46" s="18" t="s">
        <v>328</v>
      </c>
      <c r="E46" s="19" t="n">
        <v>303</v>
      </c>
      <c r="F46" s="18" t="s">
        <v>168</v>
      </c>
      <c r="G46" s="18" t="s">
        <v>168</v>
      </c>
      <c r="H46" s="18" t="s">
        <v>168</v>
      </c>
      <c r="I46" s="18" t="s">
        <v>329</v>
      </c>
      <c r="J46" s="18" t="s">
        <v>314</v>
      </c>
      <c r="K46" s="18" t="s">
        <v>330</v>
      </c>
      <c r="L46" s="18" t="s">
        <v>101</v>
      </c>
      <c r="M46" s="18" t="s">
        <v>102</v>
      </c>
      <c r="N46" s="18" t="s">
        <v>130</v>
      </c>
      <c r="O46" s="18" t="s">
        <v>131</v>
      </c>
      <c r="P46" s="20" t="s">
        <v>331</v>
      </c>
    </row>
    <row r="48" customFormat="false" ht="15" hidden="false" customHeight="false" outlineLevel="0" collapsed="false">
      <c r="A48" s="2" t="s">
        <v>332</v>
      </c>
    </row>
    <row r="49" customFormat="false" ht="15" hidden="false" customHeight="false" outlineLevel="0" collapsed="false">
      <c r="A49" s="2" t="s">
        <v>333</v>
      </c>
    </row>
    <row r="50" customFormat="false" ht="15" hidden="false" customHeight="false" outlineLevel="0" collapsed="false">
      <c r="A50" s="2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9"/>
  </cols>
  <sheetData>
    <row r="1" customFormat="false" ht="17.35" hidden="false" customHeight="false" outlineLevel="0" collapsed="false">
      <c r="A1" s="1" t="s">
        <v>335</v>
      </c>
    </row>
    <row r="2" customFormat="false" ht="15" hidden="false" customHeight="false" outlineLevel="0" collapsed="false">
      <c r="A2" s="2" t="s">
        <v>336</v>
      </c>
    </row>
    <row r="4" customFormat="false" ht="15" hidden="false" customHeight="false" outlineLevel="0" collapsed="false">
      <c r="A4" s="21" t="s">
        <v>337</v>
      </c>
      <c r="B4" s="22" t="s">
        <v>338</v>
      </c>
      <c r="C4" s="23" t="n">
        <v>0.15</v>
      </c>
    </row>
    <row r="5" customFormat="false" ht="15" hidden="false" customHeight="false" outlineLevel="0" collapsed="false">
      <c r="B5" s="22" t="s">
        <v>339</v>
      </c>
      <c r="C5" s="24" t="n">
        <v>8</v>
      </c>
    </row>
    <row r="6" customFormat="false" ht="15" hidden="false" customHeight="false" outlineLevel="0" collapsed="false">
      <c r="B6" s="22" t="s">
        <v>340</v>
      </c>
      <c r="C6" s="24" t="n">
        <v>34</v>
      </c>
    </row>
    <row r="8" customFormat="false" ht="15" hidden="false" customHeight="false" outlineLevel="0" collapsed="false">
      <c r="A8" s="6" t="s">
        <v>39</v>
      </c>
      <c r="B8" s="6" t="s">
        <v>341</v>
      </c>
      <c r="C8" s="6" t="s">
        <v>342</v>
      </c>
      <c r="D8" s="6" t="s">
        <v>343</v>
      </c>
    </row>
    <row r="9" customFormat="false" ht="15" hidden="false" customHeight="false" outlineLevel="0" collapsed="false">
      <c r="A9" s="25" t="s">
        <v>344</v>
      </c>
      <c r="B9" s="26"/>
      <c r="C9" s="26"/>
      <c r="D9" s="26"/>
    </row>
    <row r="10" customFormat="false" ht="15" hidden="false" customHeight="false" outlineLevel="0" collapsed="false">
      <c r="A10" s="7" t="s">
        <v>345</v>
      </c>
      <c r="B10" s="15" t="n">
        <v>99</v>
      </c>
      <c r="C10" s="15" t="n">
        <v>110</v>
      </c>
      <c r="D10" s="15" t="n">
        <v>379</v>
      </c>
    </row>
    <row r="11" customFormat="false" ht="15" hidden="false" customHeight="false" outlineLevel="0" collapsed="false">
      <c r="A11" s="7" t="s">
        <v>346</v>
      </c>
      <c r="B11" s="27" t="n">
        <v>0.2</v>
      </c>
      <c r="C11" s="27" t="n">
        <v>0.2</v>
      </c>
      <c r="D11" s="27" t="n">
        <v>0.2</v>
      </c>
    </row>
    <row r="12" customFormat="false" ht="15" hidden="false" customHeight="false" outlineLevel="0" collapsed="false">
      <c r="A12" s="7" t="s">
        <v>347</v>
      </c>
      <c r="B12" s="24" t="n">
        <v>79</v>
      </c>
      <c r="C12" s="24" t="n">
        <v>88</v>
      </c>
      <c r="D12" s="24" t="n">
        <v>303</v>
      </c>
    </row>
    <row r="13" customFormat="false" ht="15" hidden="false" customHeight="false" outlineLevel="0" collapsed="false">
      <c r="A13" s="7" t="s">
        <v>348</v>
      </c>
      <c r="B13" s="14" t="s">
        <v>349</v>
      </c>
      <c r="C13" s="14" t="s">
        <v>349</v>
      </c>
      <c r="D13" s="14" t="s">
        <v>350</v>
      </c>
    </row>
    <row r="14" customFormat="false" ht="35.05" hidden="false" customHeight="false" outlineLevel="0" collapsed="false">
      <c r="A14" s="7" t="s">
        <v>351</v>
      </c>
      <c r="B14" s="14" t="s">
        <v>352</v>
      </c>
      <c r="C14" s="14" t="s">
        <v>353</v>
      </c>
      <c r="D14" s="14" t="s">
        <v>354</v>
      </c>
    </row>
    <row r="15" customFormat="false" ht="15" hidden="false" customHeight="false" outlineLevel="0" collapsed="false">
      <c r="A15" s="25" t="s">
        <v>355</v>
      </c>
      <c r="B15" s="26"/>
      <c r="C15" s="26"/>
      <c r="D15" s="26"/>
    </row>
    <row r="16" customFormat="false" ht="15" hidden="false" customHeight="false" outlineLevel="0" collapsed="false">
      <c r="A16" s="7" t="s">
        <v>356</v>
      </c>
      <c r="B16" s="14" t="s">
        <v>357</v>
      </c>
      <c r="C16" s="14" t="s">
        <v>357</v>
      </c>
      <c r="D16" s="14" t="s">
        <v>358</v>
      </c>
    </row>
    <row r="17" customFormat="false" ht="15" hidden="false" customHeight="false" outlineLevel="0" collapsed="false">
      <c r="A17" s="7" t="s">
        <v>359</v>
      </c>
      <c r="B17" s="14" t="s">
        <v>360</v>
      </c>
      <c r="C17" s="14" t="s">
        <v>360</v>
      </c>
      <c r="D17" s="14" t="s">
        <v>361</v>
      </c>
    </row>
    <row r="18" customFormat="false" ht="15" hidden="false" customHeight="false" outlineLevel="0" collapsed="false">
      <c r="A18" s="7" t="s">
        <v>362</v>
      </c>
      <c r="B18" s="14" t="s">
        <v>97</v>
      </c>
      <c r="C18" s="14" t="s">
        <v>145</v>
      </c>
      <c r="D18" s="14" t="s">
        <v>361</v>
      </c>
    </row>
    <row r="19" customFormat="false" ht="15" hidden="false" customHeight="false" outlineLevel="0" collapsed="false">
      <c r="A19" s="7" t="s">
        <v>363</v>
      </c>
      <c r="B19" s="14" t="n">
        <v>1</v>
      </c>
      <c r="C19" s="14" t="n">
        <v>2</v>
      </c>
      <c r="D19" s="14" t="s">
        <v>361</v>
      </c>
    </row>
    <row r="20" customFormat="false" ht="15" hidden="false" customHeight="false" outlineLevel="0" collapsed="false">
      <c r="A20" s="25" t="s">
        <v>364</v>
      </c>
      <c r="B20" s="26"/>
      <c r="C20" s="26"/>
      <c r="D20" s="26"/>
    </row>
    <row r="21" customFormat="false" ht="15" hidden="false" customHeight="false" outlineLevel="0" collapsed="false">
      <c r="A21" s="7" t="s">
        <v>365</v>
      </c>
      <c r="B21" s="14" t="s">
        <v>357</v>
      </c>
      <c r="C21" s="14" t="s">
        <v>357</v>
      </c>
      <c r="D21" s="14" t="s">
        <v>357</v>
      </c>
    </row>
    <row r="22" customFormat="false" ht="15" hidden="false" customHeight="false" outlineLevel="0" collapsed="false">
      <c r="A22" s="7" t="s">
        <v>366</v>
      </c>
      <c r="B22" s="14" t="s">
        <v>145</v>
      </c>
      <c r="C22" s="14" t="s">
        <v>171</v>
      </c>
      <c r="D22" s="14" t="s">
        <v>314</v>
      </c>
    </row>
    <row r="23" customFormat="false" ht="15" hidden="false" customHeight="false" outlineLevel="0" collapsed="false">
      <c r="A23" s="7" t="s">
        <v>367</v>
      </c>
      <c r="B23" s="14" t="s">
        <v>175</v>
      </c>
      <c r="C23" s="14" t="n">
        <v>5</v>
      </c>
      <c r="D23" s="14" t="n">
        <v>5</v>
      </c>
    </row>
    <row r="24" customFormat="false" ht="15" hidden="false" customHeight="false" outlineLevel="0" collapsed="false">
      <c r="A24" s="7" t="s">
        <v>368</v>
      </c>
      <c r="B24" s="14" t="s">
        <v>369</v>
      </c>
      <c r="C24" s="14" t="s">
        <v>369</v>
      </c>
      <c r="D24" s="14" t="s">
        <v>369</v>
      </c>
    </row>
    <row r="25" customFormat="false" ht="15" hidden="false" customHeight="false" outlineLevel="0" collapsed="false">
      <c r="A25" s="7" t="s">
        <v>370</v>
      </c>
      <c r="B25" s="14" t="s">
        <v>176</v>
      </c>
      <c r="C25" s="14" t="s">
        <v>176</v>
      </c>
      <c r="D25" s="14" t="s">
        <v>102</v>
      </c>
    </row>
    <row r="26" customFormat="false" ht="15" hidden="false" customHeight="false" outlineLevel="0" collapsed="false">
      <c r="A26" s="7" t="s">
        <v>371</v>
      </c>
      <c r="B26" s="14" t="s">
        <v>102</v>
      </c>
      <c r="C26" s="14" t="s">
        <v>176</v>
      </c>
      <c r="D26" s="14" t="s">
        <v>102</v>
      </c>
    </row>
    <row r="27" customFormat="false" ht="15" hidden="false" customHeight="false" outlineLevel="0" collapsed="false">
      <c r="A27" s="7" t="s">
        <v>372</v>
      </c>
      <c r="B27" s="14" t="s">
        <v>131</v>
      </c>
      <c r="C27" s="14" t="s">
        <v>373</v>
      </c>
      <c r="D27" s="14" t="s">
        <v>131</v>
      </c>
    </row>
    <row r="28" customFormat="false" ht="35.05" hidden="false" customHeight="false" outlineLevel="0" collapsed="false">
      <c r="A28" s="7" t="s">
        <v>374</v>
      </c>
      <c r="B28" s="14" t="s">
        <v>375</v>
      </c>
      <c r="C28" s="14" t="s">
        <v>375</v>
      </c>
      <c r="D28" s="14" t="s">
        <v>375</v>
      </c>
    </row>
    <row r="29" customFormat="false" ht="15" hidden="false" customHeight="false" outlineLevel="0" collapsed="false">
      <c r="A29" s="7" t="s">
        <v>376</v>
      </c>
      <c r="B29" s="14" t="s">
        <v>377</v>
      </c>
      <c r="C29" s="14" t="s">
        <v>377</v>
      </c>
      <c r="D29" s="14" t="s">
        <v>377</v>
      </c>
    </row>
    <row r="30" customFormat="false" ht="15" hidden="false" customHeight="false" outlineLevel="0" collapsed="false">
      <c r="A30" s="7" t="s">
        <v>378</v>
      </c>
      <c r="B30" s="14" t="n">
        <v>10</v>
      </c>
      <c r="C30" s="14" t="n">
        <v>5</v>
      </c>
      <c r="D30" s="14" t="n">
        <v>5</v>
      </c>
    </row>
    <row r="31" customFormat="false" ht="15" hidden="false" customHeight="false" outlineLevel="0" collapsed="false">
      <c r="A31" s="25" t="s">
        <v>379</v>
      </c>
      <c r="B31" s="26"/>
      <c r="C31" s="26"/>
      <c r="D31" s="26"/>
    </row>
    <row r="32" customFormat="false" ht="15" hidden="false" customHeight="false" outlineLevel="0" collapsed="false">
      <c r="A32" s="7" t="s">
        <v>380</v>
      </c>
      <c r="B32" s="28" t="n">
        <v>0.26538</v>
      </c>
      <c r="C32" s="28" t="n">
        <v>0.16622</v>
      </c>
      <c r="D32" s="28" t="n">
        <v>1</v>
      </c>
    </row>
    <row r="33" customFormat="false" ht="15" hidden="false" customHeight="false" outlineLevel="0" collapsed="false">
      <c r="A33" s="7" t="s">
        <v>381</v>
      </c>
      <c r="B33" s="28" t="n">
        <v>0.339588514582862</v>
      </c>
      <c r="C33" s="28" t="n">
        <v>0.466971483575984</v>
      </c>
      <c r="D33" s="28" t="n">
        <v>0.12046</v>
      </c>
    </row>
    <row r="34" customFormat="false" ht="15" hidden="false" customHeight="false" outlineLevel="0" collapsed="false">
      <c r="A34" s="7" t="s">
        <v>382</v>
      </c>
      <c r="B34" s="29" t="n">
        <v>698</v>
      </c>
      <c r="C34" s="29" t="n">
        <v>800</v>
      </c>
      <c r="D34" s="29" t="n">
        <v>206</v>
      </c>
    </row>
    <row r="35" customFormat="false" ht="15" hidden="false" customHeight="false" outlineLevel="0" collapsed="false">
      <c r="A35" s="25" t="s">
        <v>383</v>
      </c>
      <c r="B35" s="26"/>
      <c r="C35" s="26"/>
      <c r="D35" s="26"/>
    </row>
    <row r="36" customFormat="false" ht="15" hidden="false" customHeight="false" outlineLevel="0" collapsed="false">
      <c r="A36" s="7" t="s">
        <v>384</v>
      </c>
      <c r="B36" s="15" t="n">
        <f aca="false">B12*3+B31*0</f>
        <v>237</v>
      </c>
      <c r="C36" s="15" t="n">
        <f aca="false">C12*2.8+C31*0</f>
        <v>246.4</v>
      </c>
      <c r="D36" s="15" t="n">
        <f aca="false">D12*1.6</f>
        <v>484.8</v>
      </c>
    </row>
    <row r="37" customFormat="false" ht="15" hidden="false" customHeight="false" outlineLevel="0" collapsed="false">
      <c r="A37" s="7" t="s">
        <v>385</v>
      </c>
      <c r="B37" s="15" t="n">
        <f aca="false">B32*B34</f>
        <v>185.23524</v>
      </c>
      <c r="C37" s="15" t="n">
        <f aca="false">C32*C34</f>
        <v>132.976</v>
      </c>
      <c r="D37" s="15" t="n">
        <f aca="false">D34</f>
        <v>206</v>
      </c>
    </row>
    <row r="38" customFormat="false" ht="15" hidden="false" customHeight="false" outlineLevel="0" collapsed="false">
      <c r="A38" s="7" t="s">
        <v>386</v>
      </c>
      <c r="B38" s="15" t="n">
        <f aca="false">$C$4*B12+$C$5</f>
        <v>19.85</v>
      </c>
      <c r="C38" s="15" t="n">
        <f aca="false">$C$4*C12+$C$5</f>
        <v>21.2</v>
      </c>
      <c r="D38" s="15" t="n">
        <f aca="false">$C$4*D12+$C$5</f>
        <v>53.45</v>
      </c>
    </row>
    <row r="39" customFormat="false" ht="15" hidden="false" customHeight="false" outlineLevel="0" collapsed="false">
      <c r="A39" s="7" t="s">
        <v>387</v>
      </c>
      <c r="B39" s="15" t="n">
        <f aca="false">$C$6</f>
        <v>34</v>
      </c>
      <c r="C39" s="15" t="n">
        <f aca="false">$C$6</f>
        <v>34</v>
      </c>
      <c r="D39" s="15" t="n">
        <f aca="false">$C$6</f>
        <v>34</v>
      </c>
    </row>
    <row r="40" customFormat="false" ht="15" hidden="false" customHeight="false" outlineLevel="0" collapsed="false">
      <c r="A40" s="25" t="s">
        <v>388</v>
      </c>
      <c r="B40" s="30" t="n">
        <f aca="false">B36-B37-B38-B39</f>
        <v>-2.08524000000001</v>
      </c>
      <c r="C40" s="30" t="n">
        <f aca="false">C36-C37-C38-C39</f>
        <v>58.224</v>
      </c>
      <c r="D40" s="30" t="n">
        <f aca="false">D36-D37-D38-D39</f>
        <v>191.35</v>
      </c>
    </row>
    <row r="41" customFormat="false" ht="15" hidden="false" customHeight="false" outlineLevel="0" collapsed="false">
      <c r="A41" s="25" t="s">
        <v>389</v>
      </c>
      <c r="B41" s="31" t="n">
        <f aca="false">IF(B36=0,0,B40/B36)</f>
        <v>-0.00879848101265825</v>
      </c>
      <c r="C41" s="31" t="n">
        <f aca="false">IF(C36=0,0,C40/C36)</f>
        <v>0.236298701298701</v>
      </c>
      <c r="D41" s="31" t="n">
        <f aca="false">IF(D36=0,0,D40/D36)</f>
        <v>0.394698844884489</v>
      </c>
    </row>
    <row r="43" customFormat="false" ht="15" hidden="false" customHeight="false" outlineLevel="0" collapsed="false">
      <c r="A43" s="2" t="s">
        <v>390</v>
      </c>
    </row>
    <row r="44" customFormat="false" ht="15" hidden="false" customHeight="false" outlineLevel="0" collapsed="false">
      <c r="A44" s="2" t="s">
        <v>391</v>
      </c>
    </row>
    <row r="45" customFormat="false" ht="15" hidden="false" customHeight="false" outlineLevel="0" collapsed="false">
      <c r="A45" s="2" t="s">
        <v>392</v>
      </c>
    </row>
    <row r="46" customFormat="false" ht="15" hidden="false" customHeight="false" outlineLevel="0" collapsed="false">
      <c r="A46" s="2" t="s">
        <v>393</v>
      </c>
    </row>
    <row r="47" customFormat="false" ht="15" hidden="false" customHeight="false" outlineLevel="0" collapsed="false">
      <c r="A47" s="2" t="s">
        <v>394</v>
      </c>
    </row>
    <row r="48" customFormat="false" ht="15" hidden="false" customHeight="false" outlineLevel="0" collapsed="false">
      <c r="A48" s="2" t="s">
        <v>395</v>
      </c>
    </row>
    <row r="49" customFormat="false" ht="15" hidden="false" customHeight="false" outlineLevel="0" collapsed="false">
      <c r="A49" s="2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10" min="6" style="0" width="13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397</v>
      </c>
    </row>
    <row r="2" customFormat="false" ht="15" hidden="false" customHeight="false" outlineLevel="0" collapsed="false">
      <c r="A2" s="2" t="s">
        <v>398</v>
      </c>
    </row>
    <row r="4" customFormat="false" ht="15" hidden="false" customHeight="false" outlineLevel="0" collapsed="false">
      <c r="A4" s="21" t="s">
        <v>337</v>
      </c>
      <c r="C4" s="22" t="s">
        <v>338</v>
      </c>
      <c r="D4" s="23" t="n">
        <v>0.15</v>
      </c>
      <c r="E4" s="22" t="s">
        <v>399</v>
      </c>
      <c r="F4" s="24" t="n">
        <v>34</v>
      </c>
      <c r="G4" s="22" t="s">
        <v>339</v>
      </c>
      <c r="H4" s="24" t="n">
        <v>8</v>
      </c>
      <c r="I4" s="22" t="s">
        <v>400</v>
      </c>
      <c r="J4" s="23" t="n">
        <v>1</v>
      </c>
    </row>
    <row r="6" customFormat="false" ht="23.85" hidden="false" customHeight="false" outlineLevel="0" collapsed="false">
      <c r="A6" s="6" t="s">
        <v>76</v>
      </c>
      <c r="B6" s="6" t="s">
        <v>77</v>
      </c>
      <c r="C6" s="6" t="s">
        <v>348</v>
      </c>
      <c r="D6" s="6" t="s">
        <v>401</v>
      </c>
      <c r="E6" s="6" t="s">
        <v>402</v>
      </c>
      <c r="F6" s="6" t="s">
        <v>403</v>
      </c>
      <c r="G6" s="6" t="s">
        <v>404</v>
      </c>
      <c r="H6" s="6" t="s">
        <v>405</v>
      </c>
      <c r="I6" s="6" t="s">
        <v>406</v>
      </c>
      <c r="J6" s="6" t="s">
        <v>407</v>
      </c>
      <c r="K6" s="6" t="s">
        <v>408</v>
      </c>
    </row>
    <row r="7" customFormat="false" ht="15" hidden="false" customHeight="false" outlineLevel="0" collapsed="false">
      <c r="A7" s="32" t="s">
        <v>92</v>
      </c>
      <c r="B7" s="7" t="s">
        <v>93</v>
      </c>
      <c r="C7" s="7" t="s">
        <v>409</v>
      </c>
      <c r="D7" s="11" t="n">
        <v>59</v>
      </c>
      <c r="E7" s="28" t="n">
        <v>0.14648</v>
      </c>
      <c r="F7" s="28" t="n">
        <v>0.477471327143637</v>
      </c>
      <c r="G7" s="29" t="n">
        <v>2049</v>
      </c>
      <c r="H7" s="15" t="n">
        <f aca="false">D7*4+E7*79</f>
        <v>247.57192</v>
      </c>
      <c r="I7" s="15" t="n">
        <f aca="false">E7*G7*$J$4</f>
        <v>300.13752</v>
      </c>
      <c r="J7" s="33" t="n">
        <f aca="false">H7-I7-($D$4*D7+$H$4)-$F$4</f>
        <v>-103.4156</v>
      </c>
      <c r="K7" s="34" t="n">
        <f aca="false">IF(H7=0,0,J7/H7)</f>
        <v>-0.417719424723127</v>
      </c>
    </row>
    <row r="8" customFormat="false" ht="15" hidden="false" customHeight="false" outlineLevel="0" collapsed="false">
      <c r="A8" s="32" t="s">
        <v>92</v>
      </c>
      <c r="B8" s="7" t="s">
        <v>106</v>
      </c>
      <c r="C8" s="7" t="s">
        <v>409</v>
      </c>
      <c r="D8" s="11" t="n">
        <v>89</v>
      </c>
      <c r="E8" s="28" t="n">
        <v>0.16654</v>
      </c>
      <c r="F8" s="28" t="n">
        <v>0.485168728233457</v>
      </c>
      <c r="G8" s="29" t="n">
        <v>2062</v>
      </c>
      <c r="H8" s="15" t="n">
        <f aca="false">D8*4+E8*99</f>
        <v>372.48746</v>
      </c>
      <c r="I8" s="15" t="n">
        <f aca="false">E8*G8*$J$4</f>
        <v>343.40548</v>
      </c>
      <c r="J8" s="33" t="n">
        <f aca="false">H8-I8-($D$4*D8+$H$4)-$F$4</f>
        <v>-26.26802</v>
      </c>
      <c r="K8" s="34" t="n">
        <f aca="false">IF(H8=0,0,J8/H8)</f>
        <v>-0.0705205485306808</v>
      </c>
    </row>
    <row r="9" customFormat="false" ht="15" hidden="false" customHeight="false" outlineLevel="0" collapsed="false">
      <c r="A9" s="32" t="s">
        <v>122</v>
      </c>
      <c r="B9" s="7" t="s">
        <v>410</v>
      </c>
      <c r="C9" s="7" t="s">
        <v>411</v>
      </c>
      <c r="D9" s="11" t="n">
        <v>91</v>
      </c>
      <c r="E9" s="28" t="n">
        <v>0.1174</v>
      </c>
      <c r="F9" s="28" t="n">
        <v>0.494548551959114</v>
      </c>
      <c r="G9" s="29" t="n">
        <v>2111</v>
      </c>
      <c r="H9" s="15" t="n">
        <f aca="false">D9*3.2+E9*0</f>
        <v>291.2</v>
      </c>
      <c r="I9" s="15" t="n">
        <f aca="false">E9*G9*$J$4</f>
        <v>247.8314</v>
      </c>
      <c r="J9" s="33" t="n">
        <f aca="false">H9-I9-($D$4*D9+$H$4)-$F$4</f>
        <v>-12.2814</v>
      </c>
      <c r="K9" s="34" t="n">
        <f aca="false">IF(H9=0,0,J9/H9)</f>
        <v>-0.0421751373626374</v>
      </c>
    </row>
    <row r="10" customFormat="false" ht="15" hidden="false" customHeight="false" outlineLevel="0" collapsed="false">
      <c r="A10" s="32" t="s">
        <v>122</v>
      </c>
      <c r="B10" s="7" t="s">
        <v>412</v>
      </c>
      <c r="C10" s="7" t="s">
        <v>411</v>
      </c>
      <c r="D10" s="11" t="n">
        <v>91</v>
      </c>
      <c r="E10" s="28" t="n">
        <v>0.1189</v>
      </c>
      <c r="F10" s="28" t="n">
        <v>0.438856181665265</v>
      </c>
      <c r="G10" s="29" t="n">
        <v>2872</v>
      </c>
      <c r="H10" s="15" t="n">
        <f aca="false">D10*3.2+E10*0</f>
        <v>291.2</v>
      </c>
      <c r="I10" s="15" t="n">
        <f aca="false">E10*G10*$J$4</f>
        <v>341.4808</v>
      </c>
      <c r="J10" s="33" t="n">
        <f aca="false">H10-I10-($D$4*D10+$H$4)-$F$4</f>
        <v>-105.9308</v>
      </c>
      <c r="K10" s="34" t="n">
        <f aca="false">IF(H10=0,0,J10/H10)</f>
        <v>-0.363773351648352</v>
      </c>
    </row>
    <row r="11" customFormat="false" ht="15" hidden="false" customHeight="false" outlineLevel="0" collapsed="false">
      <c r="A11" s="32" t="s">
        <v>413</v>
      </c>
      <c r="B11" s="7" t="s">
        <v>414</v>
      </c>
      <c r="C11" s="7" t="s">
        <v>349</v>
      </c>
      <c r="D11" s="11" t="n">
        <v>98</v>
      </c>
      <c r="E11" s="28" t="n">
        <v>0.1509</v>
      </c>
      <c r="F11" s="28" t="n">
        <v>0.428628230616302</v>
      </c>
      <c r="G11" s="29" t="n">
        <v>3799</v>
      </c>
      <c r="H11" s="15" t="n">
        <f aca="false">D11*3+E11*0</f>
        <v>294</v>
      </c>
      <c r="I11" s="15" t="n">
        <f aca="false">E11*G11*$J$4</f>
        <v>573.2691</v>
      </c>
      <c r="J11" s="33" t="n">
        <f aca="false">H11-I11-($D$4*D11+$H$4)-$F$4</f>
        <v>-335.9691</v>
      </c>
      <c r="K11" s="34" t="n">
        <f aca="false">IF(H11=0,0,J11/H11)</f>
        <v>-1.14275204081633</v>
      </c>
    </row>
    <row r="12" customFormat="false" ht="15" hidden="false" customHeight="false" outlineLevel="0" collapsed="false">
      <c r="A12" s="32" t="s">
        <v>142</v>
      </c>
      <c r="B12" s="7" t="s">
        <v>415</v>
      </c>
      <c r="C12" s="7" t="s">
        <v>349</v>
      </c>
      <c r="D12" s="11" t="n">
        <v>98</v>
      </c>
      <c r="E12" s="28" t="n">
        <v>0.12442</v>
      </c>
      <c r="F12" s="28" t="n">
        <v>0.469699405240315</v>
      </c>
      <c r="G12" s="29" t="n">
        <v>2357</v>
      </c>
      <c r="H12" s="15" t="n">
        <f aca="false">D12*3+E12*0</f>
        <v>294</v>
      </c>
      <c r="I12" s="15" t="n">
        <f aca="false">E12*G12*$J$4</f>
        <v>293.25794</v>
      </c>
      <c r="J12" s="33" t="n">
        <f aca="false">H12-I12-($D$4*D12+$H$4)-$F$4</f>
        <v>-55.95794</v>
      </c>
      <c r="K12" s="34" t="n">
        <f aca="false">IF(H12=0,0,J12/H12)</f>
        <v>-0.190333129251701</v>
      </c>
    </row>
    <row r="13" customFormat="false" ht="15" hidden="false" customHeight="false" outlineLevel="0" collapsed="false">
      <c r="A13" s="32" t="s">
        <v>142</v>
      </c>
      <c r="B13" s="7" t="s">
        <v>212</v>
      </c>
      <c r="C13" s="7" t="s">
        <v>349</v>
      </c>
      <c r="D13" s="11" t="n">
        <v>75</v>
      </c>
      <c r="E13" s="28" t="n">
        <v>0.47698</v>
      </c>
      <c r="F13" s="28" t="n">
        <v>0.379135393517548</v>
      </c>
      <c r="G13" s="29" t="n">
        <v>1303</v>
      </c>
      <c r="H13" s="15" t="n">
        <f aca="false">D13*3.2+E13*0</f>
        <v>240</v>
      </c>
      <c r="I13" s="15" t="n">
        <f aca="false">E13*G13*$J$4</f>
        <v>621.50494</v>
      </c>
      <c r="J13" s="33" t="n">
        <f aca="false">H13-I13-($D$4*D13+$H$4)-$F$4</f>
        <v>-434.75494</v>
      </c>
      <c r="K13" s="34" t="n">
        <f aca="false">IF(H13=0,0,J13/H13)</f>
        <v>-1.81147891666667</v>
      </c>
    </row>
    <row r="14" customFormat="false" ht="15" hidden="false" customHeight="false" outlineLevel="0" collapsed="false">
      <c r="A14" s="32" t="s">
        <v>163</v>
      </c>
      <c r="B14" s="7" t="s">
        <v>164</v>
      </c>
      <c r="C14" s="7" t="s">
        <v>349</v>
      </c>
      <c r="D14" s="11" t="n">
        <v>80</v>
      </c>
      <c r="E14" s="28" t="n">
        <v>0.16644</v>
      </c>
      <c r="F14" s="28" t="n">
        <v>0.359889449651526</v>
      </c>
      <c r="G14" s="29" t="n">
        <v>1046</v>
      </c>
      <c r="H14" s="15" t="n">
        <f aca="false">D14*3.2+E14*0</f>
        <v>256</v>
      </c>
      <c r="I14" s="15" t="n">
        <f aca="false">E14*G14*$J$4</f>
        <v>174.09624</v>
      </c>
      <c r="J14" s="33" t="n">
        <f aca="false">H14-I14-($D$4*D14+$H$4)-$F$4</f>
        <v>27.90376</v>
      </c>
      <c r="K14" s="34" t="n">
        <f aca="false">IF(H14=0,0,J14/H14)</f>
        <v>0.1089990625</v>
      </c>
    </row>
    <row r="15" customFormat="false" ht="15" hidden="false" customHeight="false" outlineLevel="0" collapsed="false">
      <c r="A15" s="32" t="s">
        <v>163</v>
      </c>
      <c r="B15" s="7" t="s">
        <v>416</v>
      </c>
      <c r="C15" s="7" t="s">
        <v>349</v>
      </c>
      <c r="D15" s="11" t="n">
        <v>91</v>
      </c>
      <c r="E15" s="28" t="n">
        <v>0.14152</v>
      </c>
      <c r="F15" s="28" t="n">
        <v>0.481345392877332</v>
      </c>
      <c r="G15" s="29" t="n">
        <v>2402</v>
      </c>
      <c r="H15" s="15" t="n">
        <f aca="false">D15*3+E15*0</f>
        <v>273</v>
      </c>
      <c r="I15" s="15" t="n">
        <f aca="false">E15*G15*$J$4</f>
        <v>339.93104</v>
      </c>
      <c r="J15" s="33" t="n">
        <f aca="false">H15-I15-($D$4*D15+$H$4)-$F$4</f>
        <v>-122.58104</v>
      </c>
      <c r="K15" s="34" t="n">
        <f aca="false">IF(H15=0,0,J15/H15)</f>
        <v>-0.449014798534799</v>
      </c>
    </row>
    <row r="16" customFormat="false" ht="15" hidden="false" customHeight="false" outlineLevel="0" collapsed="false">
      <c r="A16" s="32" t="s">
        <v>163</v>
      </c>
      <c r="B16" s="7" t="s">
        <v>417</v>
      </c>
      <c r="C16" s="7" t="s">
        <v>350</v>
      </c>
      <c r="D16" s="11" t="n">
        <v>418</v>
      </c>
      <c r="E16" s="28" t="n">
        <v>1</v>
      </c>
      <c r="F16" s="28" t="n">
        <v>0.12062</v>
      </c>
      <c r="G16" s="29" t="n">
        <v>278</v>
      </c>
      <c r="H16" s="15" t="n">
        <f aca="false">D16*1.6+1*0</f>
        <v>668.8</v>
      </c>
      <c r="I16" s="15" t="n">
        <f aca="false">1*G16*$J$4</f>
        <v>278</v>
      </c>
      <c r="J16" s="33" t="n">
        <f aca="false">H16-I16-($D$4*D16+$H$4)-$F$4</f>
        <v>286.1</v>
      </c>
      <c r="K16" s="34" t="n">
        <f aca="false">IF(H16=0,0,J16/H16)</f>
        <v>0.427781100478469</v>
      </c>
    </row>
    <row r="17" customFormat="false" ht="15" hidden="false" customHeight="false" outlineLevel="0" collapsed="false">
      <c r="A17" s="32" t="s">
        <v>183</v>
      </c>
      <c r="B17" s="7" t="s">
        <v>418</v>
      </c>
      <c r="C17" s="7" t="s">
        <v>411</v>
      </c>
      <c r="D17" s="11" t="n">
        <v>68</v>
      </c>
      <c r="E17" s="28" t="n">
        <v>0.09384</v>
      </c>
      <c r="F17" s="28" t="n">
        <v>0.768542199488491</v>
      </c>
      <c r="G17" s="29" t="n">
        <v>1255</v>
      </c>
      <c r="H17" s="15" t="n">
        <f aca="false">D17*3.2+E17*0</f>
        <v>217.6</v>
      </c>
      <c r="I17" s="15" t="n">
        <f aca="false">E17*G17*$J$4</f>
        <v>117.7692</v>
      </c>
      <c r="J17" s="33" t="n">
        <f aca="false">H17-I17-($D$4*D17+$H$4)-$F$4</f>
        <v>47.6308</v>
      </c>
      <c r="K17" s="34" t="n">
        <f aca="false">IF(H17=0,0,J17/H17)</f>
        <v>0.218891544117647</v>
      </c>
    </row>
    <row r="18" customFormat="false" ht="15" hidden="false" customHeight="false" outlineLevel="0" collapsed="false">
      <c r="A18" s="32" t="s">
        <v>183</v>
      </c>
      <c r="B18" s="7" t="s">
        <v>419</v>
      </c>
      <c r="C18" s="7" t="s">
        <v>411</v>
      </c>
      <c r="D18" s="11" t="n">
        <v>68</v>
      </c>
      <c r="E18" s="28" t="n">
        <v>0.15318</v>
      </c>
      <c r="F18" s="28" t="n">
        <v>0.483744614179397</v>
      </c>
      <c r="G18" s="29" t="n">
        <v>2412</v>
      </c>
      <c r="H18" s="15" t="n">
        <f aca="false">D18*3+E18*0</f>
        <v>204</v>
      </c>
      <c r="I18" s="15" t="n">
        <f aca="false">E18*G18*$J$4</f>
        <v>369.47016</v>
      </c>
      <c r="J18" s="33" t="n">
        <f aca="false">H18-I18-($D$4*D18+$H$4)-$F$4</f>
        <v>-217.67016</v>
      </c>
      <c r="K18" s="34" t="n">
        <f aca="false">IF(H18=0,0,J18/H18)</f>
        <v>-1.06701058823529</v>
      </c>
    </row>
    <row r="19" customFormat="false" ht="15" hidden="false" customHeight="false" outlineLevel="0" collapsed="false">
      <c r="A19" s="32" t="s">
        <v>310</v>
      </c>
      <c r="B19" s="7" t="s">
        <v>311</v>
      </c>
      <c r="C19" s="7" t="s">
        <v>411</v>
      </c>
      <c r="D19" s="11" t="n">
        <v>120</v>
      </c>
      <c r="E19" s="28" t="n">
        <v>0.26756</v>
      </c>
      <c r="F19" s="28" t="n">
        <v>0.278890716101061</v>
      </c>
      <c r="G19" s="29" t="n">
        <v>826</v>
      </c>
      <c r="H19" s="15" t="n">
        <f aca="false">D19*3+E19*0</f>
        <v>360</v>
      </c>
      <c r="I19" s="15" t="n">
        <f aca="false">E19*G19*$J$4</f>
        <v>221.00456</v>
      </c>
      <c r="J19" s="33" t="n">
        <f aca="false">H19-I19-($D$4*D19+$H$4)-$F$4</f>
        <v>78.99544</v>
      </c>
      <c r="K19" s="34" t="n">
        <f aca="false">IF(H19=0,0,J19/H19)</f>
        <v>0.219431777777778</v>
      </c>
    </row>
    <row r="20" customFormat="false" ht="15" hidden="false" customHeight="false" outlineLevel="0" collapsed="false">
      <c r="A20" s="32" t="s">
        <v>310</v>
      </c>
      <c r="B20" s="7" t="s">
        <v>420</v>
      </c>
      <c r="C20" s="7" t="s">
        <v>350</v>
      </c>
      <c r="D20" s="11" t="n">
        <v>412</v>
      </c>
      <c r="E20" s="28" t="n">
        <v>1</v>
      </c>
      <c r="F20" s="28" t="n">
        <v>0.17958</v>
      </c>
      <c r="G20" s="29" t="n">
        <v>476</v>
      </c>
      <c r="H20" s="15" t="n">
        <f aca="false">D20*1.6+1*0</f>
        <v>659.2</v>
      </c>
      <c r="I20" s="15" t="n">
        <f aca="false">1*G20*$J$4</f>
        <v>476</v>
      </c>
      <c r="J20" s="33" t="n">
        <f aca="false">H20-I20-($D$4*D20+$H$4)-$F$4</f>
        <v>79.4000000000001</v>
      </c>
      <c r="K20" s="34" t="n">
        <f aca="false">IF(H20=0,0,J20/H20)</f>
        <v>0.120449029126214</v>
      </c>
    </row>
    <row r="21" customFormat="false" ht="15" hidden="false" customHeight="false" outlineLevel="0" collapsed="false">
      <c r="A21" s="32" t="s">
        <v>193</v>
      </c>
      <c r="B21" s="7" t="s">
        <v>421</v>
      </c>
      <c r="C21" s="7" t="s">
        <v>349</v>
      </c>
      <c r="D21" s="11" t="n">
        <v>90</v>
      </c>
      <c r="E21" s="28" t="n">
        <v>0.26428</v>
      </c>
      <c r="F21" s="28" t="n">
        <v>0.398743756621765</v>
      </c>
      <c r="G21" s="29" t="n">
        <v>1245</v>
      </c>
      <c r="H21" s="15" t="n">
        <f aca="false">D21*3+E21*0</f>
        <v>270</v>
      </c>
      <c r="I21" s="15" t="n">
        <f aca="false">E21*G21*$J$4</f>
        <v>329.0286</v>
      </c>
      <c r="J21" s="33" t="n">
        <f aca="false">H21-I21-($D$4*D21+$H$4)-$F$4</f>
        <v>-114.5286</v>
      </c>
      <c r="K21" s="34" t="n">
        <f aca="false">IF(H21=0,0,J21/H21)</f>
        <v>-0.42418</v>
      </c>
    </row>
    <row r="22" customFormat="false" ht="15" hidden="false" customHeight="false" outlineLevel="0" collapsed="false">
      <c r="A22" s="32" t="s">
        <v>193</v>
      </c>
      <c r="B22" s="7" t="s">
        <v>422</v>
      </c>
      <c r="C22" s="7" t="s">
        <v>349</v>
      </c>
      <c r="D22" s="11" t="n">
        <v>112</v>
      </c>
      <c r="E22" s="28" t="n">
        <v>0.23952</v>
      </c>
      <c r="F22" s="28" t="n">
        <v>0.493987975951904</v>
      </c>
      <c r="G22" s="29" t="n">
        <v>2153</v>
      </c>
      <c r="H22" s="15" t="n">
        <f aca="false">D22*2.8+E22*0</f>
        <v>313.6</v>
      </c>
      <c r="I22" s="15" t="n">
        <f aca="false">E22*G22*$J$4</f>
        <v>515.68656</v>
      </c>
      <c r="J22" s="33" t="n">
        <f aca="false">H22-I22-($D$4*D22+$H$4)-$F$4</f>
        <v>-260.88656</v>
      </c>
      <c r="K22" s="34" t="n">
        <f aca="false">IF(H22=0,0,J22/H22)</f>
        <v>-0.831908673469388</v>
      </c>
    </row>
    <row r="23" customFormat="false" ht="15" hidden="false" customHeight="false" outlineLevel="0" collapsed="false">
      <c r="A23" s="32" t="s">
        <v>193</v>
      </c>
      <c r="B23" s="7" t="s">
        <v>423</v>
      </c>
      <c r="C23" s="7" t="s">
        <v>350</v>
      </c>
      <c r="D23" s="11" t="n">
        <v>328</v>
      </c>
      <c r="E23" s="28" t="n">
        <v>1</v>
      </c>
      <c r="F23" s="28" t="n">
        <v>0.09366</v>
      </c>
      <c r="G23" s="29" t="n">
        <v>167</v>
      </c>
      <c r="H23" s="15" t="n">
        <f aca="false">D23*1.6+1*0</f>
        <v>524.8</v>
      </c>
      <c r="I23" s="15" t="n">
        <f aca="false">1*G23*$J$4</f>
        <v>167</v>
      </c>
      <c r="J23" s="33" t="n">
        <f aca="false">H23-I23-($D$4*D23+$H$4)-$F$4</f>
        <v>266.6</v>
      </c>
      <c r="K23" s="34" t="n">
        <f aca="false">IF(H23=0,0,J23/H23)</f>
        <v>0.508003048780488</v>
      </c>
    </row>
    <row r="24" customFormat="false" ht="15" hidden="false" customHeight="false" outlineLevel="0" collapsed="false">
      <c r="A24" s="32" t="s">
        <v>142</v>
      </c>
      <c r="B24" s="7" t="s">
        <v>424</v>
      </c>
      <c r="C24" s="7" t="s">
        <v>349</v>
      </c>
      <c r="D24" s="11" t="n">
        <v>101</v>
      </c>
      <c r="E24" s="28" t="n">
        <v>0.11002</v>
      </c>
      <c r="F24" s="28" t="n">
        <v>0.528994728231231</v>
      </c>
      <c r="G24" s="29" t="n">
        <v>2379</v>
      </c>
      <c r="H24" s="15" t="n">
        <f aca="false">D24*2.2+E24*0</f>
        <v>222.2</v>
      </c>
      <c r="I24" s="15" t="n">
        <f aca="false">E24*G24*$J$4</f>
        <v>261.73758</v>
      </c>
      <c r="J24" s="33" t="n">
        <f aca="false">H24-I24-($D$4*D24+$H$4)-$F$4</f>
        <v>-96.68758</v>
      </c>
      <c r="K24" s="34" t="n">
        <f aca="false">IF(H24=0,0,J24/H24)</f>
        <v>-0.435137623762376</v>
      </c>
    </row>
    <row r="25" customFormat="false" ht="15" hidden="false" customHeight="false" outlineLevel="0" collapsed="false">
      <c r="A25" s="32" t="s">
        <v>211</v>
      </c>
      <c r="B25" s="7" t="s">
        <v>223</v>
      </c>
      <c r="C25" s="7" t="s">
        <v>349</v>
      </c>
      <c r="D25" s="11" t="n">
        <v>75</v>
      </c>
      <c r="E25" s="28" t="n">
        <v>0.12566</v>
      </c>
      <c r="F25" s="28" t="n">
        <v>0.545758395670858</v>
      </c>
      <c r="G25" s="29" t="n">
        <v>2089</v>
      </c>
      <c r="H25" s="15" t="n">
        <f aca="false">D25*2+E25*0</f>
        <v>150</v>
      </c>
      <c r="I25" s="15" t="n">
        <f aca="false">E25*G25*$J$4</f>
        <v>262.50374</v>
      </c>
      <c r="J25" s="33" t="n">
        <f aca="false">H25-I25-($D$4*D25+$H$4)-$F$4</f>
        <v>-165.75374</v>
      </c>
      <c r="K25" s="34" t="n">
        <f aca="false">IF(H25=0,0,J25/H25)</f>
        <v>-1.10502493333333</v>
      </c>
    </row>
    <row r="26" customFormat="false" ht="15" hidden="false" customHeight="false" outlineLevel="0" collapsed="false">
      <c r="A26" s="32" t="s">
        <v>286</v>
      </c>
      <c r="B26" s="7" t="s">
        <v>287</v>
      </c>
      <c r="C26" s="7" t="s">
        <v>425</v>
      </c>
      <c r="D26" s="11" t="n">
        <v>167</v>
      </c>
      <c r="E26" s="28" t="n">
        <v>0.23346</v>
      </c>
      <c r="F26" s="28" t="n">
        <v>0.374196864559239</v>
      </c>
      <c r="G26" s="29" t="n">
        <v>872</v>
      </c>
      <c r="H26" s="15" t="n">
        <f aca="false">D26*2.5+E26*0</f>
        <v>417.5</v>
      </c>
      <c r="I26" s="15" t="n">
        <f aca="false">E26*G26*$J$4</f>
        <v>203.57712</v>
      </c>
      <c r="J26" s="33" t="n">
        <f aca="false">H26-I26-($D$4*D26+$H$4)-$F$4</f>
        <v>146.87288</v>
      </c>
      <c r="K26" s="34" t="n">
        <f aca="false">IF(H26=0,0,J26/H26)</f>
        <v>0.351791329341317</v>
      </c>
    </row>
    <row r="27" customFormat="false" ht="15" hidden="false" customHeight="false" outlineLevel="0" collapsed="false">
      <c r="A27" s="32" t="s">
        <v>232</v>
      </c>
      <c r="B27" s="7" t="s">
        <v>233</v>
      </c>
      <c r="C27" s="7" t="s">
        <v>349</v>
      </c>
      <c r="D27" s="11" t="n">
        <v>64</v>
      </c>
      <c r="E27" s="28" t="n">
        <v>0.1648</v>
      </c>
      <c r="F27" s="28" t="n">
        <v>0.589684466019418</v>
      </c>
      <c r="G27" s="29" t="n">
        <v>859</v>
      </c>
      <c r="H27" s="15" t="n">
        <f aca="false">D27*2.2+E27*0</f>
        <v>140.8</v>
      </c>
      <c r="I27" s="15" t="n">
        <f aca="false">E27*G27*$J$4</f>
        <v>141.5632</v>
      </c>
      <c r="J27" s="33" t="n">
        <f aca="false">H27-I27-($D$4*D27+$H$4)-$F$4</f>
        <v>-52.3632</v>
      </c>
      <c r="K27" s="34" t="n">
        <f aca="false">IF(H27=0,0,J27/H27)</f>
        <v>-0.371897727272727</v>
      </c>
    </row>
    <row r="28" customFormat="false" ht="15" hidden="false" customHeight="false" outlineLevel="0" collapsed="false">
      <c r="A28" s="32" t="s">
        <v>243</v>
      </c>
      <c r="B28" s="7" t="s">
        <v>252</v>
      </c>
      <c r="C28" s="7" t="s">
        <v>349</v>
      </c>
      <c r="D28" s="11" t="n">
        <v>116</v>
      </c>
      <c r="E28" s="28" t="n">
        <v>0.07758</v>
      </c>
      <c r="F28" s="28" t="n">
        <v>0.262180974477958</v>
      </c>
      <c r="G28" s="29" t="n">
        <v>346</v>
      </c>
      <c r="H28" s="15" t="n">
        <f aca="false">D28*2.3+E28*0</f>
        <v>266.8</v>
      </c>
      <c r="I28" s="15" t="n">
        <f aca="false">E28*G28*$J$4</f>
        <v>26.84268</v>
      </c>
      <c r="J28" s="33" t="n">
        <f aca="false">H28-I28-($D$4*D28+$H$4)-$F$4</f>
        <v>180.55732</v>
      </c>
      <c r="K28" s="34" t="n">
        <f aca="false">IF(H28=0,0,J28/H28)</f>
        <v>0.676751574212893</v>
      </c>
    </row>
    <row r="29" customFormat="false" ht="15" hidden="false" customHeight="false" outlineLevel="0" collapsed="false">
      <c r="A29" s="32" t="s">
        <v>257</v>
      </c>
      <c r="B29" s="7" t="s">
        <v>258</v>
      </c>
      <c r="C29" s="7" t="s">
        <v>411</v>
      </c>
      <c r="D29" s="11" t="n">
        <v>112</v>
      </c>
      <c r="E29" s="28" t="n">
        <v>0.16514</v>
      </c>
      <c r="F29" s="28" t="n">
        <v>0.333777400993097</v>
      </c>
      <c r="G29" s="29" t="n">
        <v>1339</v>
      </c>
      <c r="H29" s="15" t="n">
        <f aca="false">D29*2.8+E29*0</f>
        <v>313.6</v>
      </c>
      <c r="I29" s="15" t="n">
        <f aca="false">E29*G29*$J$4</f>
        <v>221.12246</v>
      </c>
      <c r="J29" s="33" t="n">
        <f aca="false">H29-I29-($D$4*D29+$H$4)-$F$4</f>
        <v>33.67754</v>
      </c>
      <c r="K29" s="34" t="n">
        <f aca="false">IF(H29=0,0,J29/H29)</f>
        <v>0.107390114795918</v>
      </c>
    </row>
    <row r="30" customFormat="false" ht="15" hidden="false" customHeight="false" outlineLevel="0" collapsed="false">
      <c r="A30" s="32" t="s">
        <v>266</v>
      </c>
      <c r="B30" s="7" t="s">
        <v>267</v>
      </c>
      <c r="C30" s="7" t="s">
        <v>349</v>
      </c>
      <c r="D30" s="11" t="n">
        <v>121</v>
      </c>
      <c r="E30" s="28" t="n">
        <v>0.20532</v>
      </c>
      <c r="F30" s="28" t="n">
        <v>0.325930255211377</v>
      </c>
      <c r="G30" s="29" t="n">
        <v>886</v>
      </c>
      <c r="H30" s="15" t="n">
        <f aca="false">D30*2+E30*0</f>
        <v>242</v>
      </c>
      <c r="I30" s="15" t="n">
        <f aca="false">E30*G30*$J$4</f>
        <v>181.91352</v>
      </c>
      <c r="J30" s="33" t="n">
        <f aca="false">H30-I30-($D$4*D30+$H$4)-$F$4</f>
        <v>-0.063520000000004</v>
      </c>
      <c r="K30" s="34" t="n">
        <f aca="false">IF(H30=0,0,J30/H30)</f>
        <v>-0.000262479338842992</v>
      </c>
    </row>
    <row r="31" customFormat="false" ht="15" hidden="false" customHeight="false" outlineLevel="0" collapsed="false">
      <c r="A31" s="32" t="s">
        <v>274</v>
      </c>
      <c r="B31" s="7" t="s">
        <v>275</v>
      </c>
      <c r="C31" s="7" t="s">
        <v>349</v>
      </c>
      <c r="D31" s="11" t="n">
        <v>116</v>
      </c>
      <c r="E31" s="28" t="n">
        <v>0.17858</v>
      </c>
      <c r="F31" s="28" t="n">
        <v>0.369358270803001</v>
      </c>
      <c r="G31" s="29" t="n">
        <v>848</v>
      </c>
      <c r="H31" s="15" t="n">
        <f aca="false">D31*2+E31*0</f>
        <v>232</v>
      </c>
      <c r="I31" s="15" t="n">
        <f aca="false">E31*G31*$J$4</f>
        <v>151.43584</v>
      </c>
      <c r="J31" s="33" t="n">
        <f aca="false">H31-I31-($D$4*D31+$H$4)-$F$4</f>
        <v>21.16416</v>
      </c>
      <c r="K31" s="34" t="n">
        <f aca="false">IF(H31=0,0,J31/H31)</f>
        <v>0.091224827586207</v>
      </c>
    </row>
    <row r="32" customFormat="false" ht="15" hidden="false" customHeight="false" outlineLevel="0" collapsed="false">
      <c r="A32" s="32" t="s">
        <v>302</v>
      </c>
      <c r="B32" s="7" t="s">
        <v>281</v>
      </c>
      <c r="C32" s="7" t="s">
        <v>426</v>
      </c>
      <c r="D32" s="11" t="n">
        <v>20</v>
      </c>
      <c r="E32" s="28" t="n">
        <v>0.36354</v>
      </c>
      <c r="F32" s="28" t="n">
        <v>0.301754965065742</v>
      </c>
      <c r="G32" s="29" t="n">
        <v>840</v>
      </c>
      <c r="H32" s="15" t="n">
        <f aca="false">D32*2.5+E32*99</f>
        <v>85.99046</v>
      </c>
      <c r="I32" s="15" t="n">
        <f aca="false">E32*G32*$J$4</f>
        <v>305.3736</v>
      </c>
      <c r="J32" s="33" t="n">
        <f aca="false">H32-I32-($D$4*D32+$H$4)-$F$4</f>
        <v>-264.38314</v>
      </c>
      <c r="K32" s="34" t="n">
        <f aca="false">IF(H32=0,0,J32/H32)</f>
        <v>-3.07456362019694</v>
      </c>
    </row>
    <row r="33" customFormat="false" ht="15" hidden="false" customHeight="false" outlineLevel="0" collapsed="false">
      <c r="A33" s="32" t="s">
        <v>319</v>
      </c>
      <c r="B33" s="7" t="s">
        <v>341</v>
      </c>
      <c r="C33" s="7" t="s">
        <v>349</v>
      </c>
      <c r="D33" s="11" t="n">
        <v>79</v>
      </c>
      <c r="E33" s="28" t="n">
        <v>0.26538</v>
      </c>
      <c r="F33" s="28" t="n">
        <v>0.339588514582862</v>
      </c>
      <c r="G33" s="29" t="n">
        <v>698</v>
      </c>
      <c r="H33" s="15" t="n">
        <f aca="false">D33*3+E33*0</f>
        <v>237</v>
      </c>
      <c r="I33" s="15" t="n">
        <f aca="false">E33*G33*$J$4</f>
        <v>185.23524</v>
      </c>
      <c r="J33" s="33" t="n">
        <f aca="false">H33-I33-($D$4*D33+$H$4)-$F$4</f>
        <v>-2.08524000000001</v>
      </c>
      <c r="K33" s="34" t="n">
        <f aca="false">IF(H33=0,0,J33/H33)</f>
        <v>-0.00879848101265825</v>
      </c>
    </row>
    <row r="34" customFormat="false" ht="15" hidden="false" customHeight="false" outlineLevel="0" collapsed="false">
      <c r="A34" s="32" t="s">
        <v>319</v>
      </c>
      <c r="B34" s="7" t="s">
        <v>342</v>
      </c>
      <c r="C34" s="7" t="s">
        <v>349</v>
      </c>
      <c r="D34" s="11" t="n">
        <v>88</v>
      </c>
      <c r="E34" s="28" t="n">
        <v>0.16622</v>
      </c>
      <c r="F34" s="28" t="n">
        <v>0.466971483575984</v>
      </c>
      <c r="G34" s="29" t="n">
        <v>800</v>
      </c>
      <c r="H34" s="15" t="n">
        <f aca="false">D34*2.8+E34*0</f>
        <v>246.4</v>
      </c>
      <c r="I34" s="15" t="n">
        <f aca="false">E34*G34*$J$4</f>
        <v>132.976</v>
      </c>
      <c r="J34" s="33" t="n">
        <f aca="false">H34-I34-($D$4*D34+$H$4)-$F$4</f>
        <v>58.224</v>
      </c>
      <c r="K34" s="34" t="n">
        <f aca="false">IF(H34=0,0,J34/H34)</f>
        <v>0.236298701298701</v>
      </c>
    </row>
    <row r="35" customFormat="false" ht="15" hidden="false" customHeight="false" outlineLevel="0" collapsed="false">
      <c r="A35" s="32" t="s">
        <v>319</v>
      </c>
      <c r="B35" s="7" t="s">
        <v>343</v>
      </c>
      <c r="C35" s="7" t="s">
        <v>350</v>
      </c>
      <c r="D35" s="11" t="n">
        <v>303</v>
      </c>
      <c r="E35" s="28" t="n">
        <v>1</v>
      </c>
      <c r="F35" s="28" t="n">
        <v>0.12046</v>
      </c>
      <c r="G35" s="29" t="n">
        <v>206</v>
      </c>
      <c r="H35" s="15" t="n">
        <f aca="false">D35*1.6+1*0</f>
        <v>484.8</v>
      </c>
      <c r="I35" s="15" t="n">
        <f aca="false">1*G35*$J$4</f>
        <v>206</v>
      </c>
      <c r="J35" s="33" t="n">
        <f aca="false">H35-I35-($D$4*D35+$H$4)-$F$4</f>
        <v>191.35</v>
      </c>
      <c r="K35" s="34" t="n">
        <f aca="false">IF(H35=0,0,J35/H35)</f>
        <v>0.394698844884489</v>
      </c>
    </row>
    <row r="37" customFormat="false" ht="15" hidden="false" customHeight="false" outlineLevel="0" collapsed="false">
      <c r="A37" s="2" t="s">
        <v>427</v>
      </c>
    </row>
    <row r="38" customFormat="false" ht="15" hidden="false" customHeight="false" outlineLevel="0" collapsed="false">
      <c r="A38" s="2" t="s">
        <v>428</v>
      </c>
    </row>
    <row r="39" customFormat="false" ht="15" hidden="false" customHeight="false" outlineLevel="0" collapsed="false">
      <c r="A39" s="2" t="s">
        <v>429</v>
      </c>
    </row>
    <row r="40" customFormat="false" ht="15" hidden="false" customHeight="false" outlineLevel="0" collapsed="false">
      <c r="A40" s="2" t="s">
        <v>430</v>
      </c>
    </row>
    <row r="41" customFormat="false" ht="15" hidden="false" customHeight="false" outlineLevel="0" collapsed="false">
      <c r="A41" s="2" t="s">
        <v>431</v>
      </c>
    </row>
    <row r="42" customFormat="false" ht="15" hidden="false" customHeight="false" outlineLevel="0" collapsed="false">
      <c r="A42" s="2" t="s">
        <v>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433</v>
      </c>
    </row>
    <row r="2" customFormat="false" ht="15" hidden="false" customHeight="false" outlineLevel="0" collapsed="false">
      <c r="A2" s="2" t="s">
        <v>434</v>
      </c>
    </row>
    <row r="4" customFormat="false" ht="15" hidden="false" customHeight="false" outlineLevel="0" collapsed="false">
      <c r="A4" s="6" t="s">
        <v>435</v>
      </c>
      <c r="B4" s="6" t="s">
        <v>436</v>
      </c>
      <c r="C4" s="6" t="s">
        <v>437</v>
      </c>
      <c r="D4" s="6" t="s">
        <v>438</v>
      </c>
      <c r="E4" s="6" t="s">
        <v>439</v>
      </c>
      <c r="F4" s="6" t="s">
        <v>440</v>
      </c>
    </row>
    <row r="5" customFormat="false" ht="15" hidden="false" customHeight="false" outlineLevel="0" collapsed="false">
      <c r="A5" s="7" t="s">
        <v>163</v>
      </c>
      <c r="B5" s="11" t="n">
        <v>9963425</v>
      </c>
      <c r="C5" s="12" t="n">
        <v>5819</v>
      </c>
      <c r="D5" s="11" t="n">
        <v>1712</v>
      </c>
      <c r="E5" s="11" t="n">
        <v>28118</v>
      </c>
      <c r="F5" s="15" t="n">
        <f aca="false">B5*52</f>
        <v>518098100</v>
      </c>
    </row>
    <row r="6" customFormat="false" ht="15" hidden="false" customHeight="false" outlineLevel="0" collapsed="false">
      <c r="A6" s="7" t="s">
        <v>142</v>
      </c>
      <c r="B6" s="11" t="n">
        <v>3227507</v>
      </c>
      <c r="C6" s="12" t="n">
        <v>2019</v>
      </c>
      <c r="D6" s="11" t="n">
        <v>1599</v>
      </c>
      <c r="E6" s="11" t="n">
        <v>109654</v>
      </c>
      <c r="F6" s="15" t="n">
        <f aca="false">B6*52</f>
        <v>167830364</v>
      </c>
    </row>
    <row r="7" customFormat="false" ht="15" hidden="false" customHeight="false" outlineLevel="0" collapsed="false">
      <c r="A7" s="7" t="s">
        <v>441</v>
      </c>
      <c r="B7" s="11" t="n">
        <v>629744</v>
      </c>
      <c r="C7" s="12" t="n">
        <v>413</v>
      </c>
      <c r="D7" s="11" t="n">
        <v>1525</v>
      </c>
      <c r="E7" s="11" t="n">
        <v>7269</v>
      </c>
      <c r="F7" s="15" t="n">
        <f aca="false">B7*52</f>
        <v>32746688</v>
      </c>
    </row>
    <row r="8" customFormat="false" ht="15" hidden="false" customHeight="false" outlineLevel="0" collapsed="false">
      <c r="A8" s="7" t="s">
        <v>442</v>
      </c>
      <c r="B8" s="11" t="n">
        <v>473458</v>
      </c>
      <c r="C8" s="12" t="n">
        <v>220</v>
      </c>
      <c r="D8" s="11" t="n">
        <v>2152</v>
      </c>
      <c r="E8" s="11" t="n">
        <v>37765</v>
      </c>
      <c r="F8" s="15" t="n">
        <f aca="false">B8*52</f>
        <v>24619816</v>
      </c>
    </row>
    <row r="9" customFormat="false" ht="15" hidden="false" customHeight="false" outlineLevel="0" collapsed="false">
      <c r="A9" s="7" t="s">
        <v>443</v>
      </c>
      <c r="B9" s="11" t="n">
        <v>219935</v>
      </c>
      <c r="C9" s="12" t="n">
        <v>154</v>
      </c>
      <c r="D9" s="11" t="n">
        <v>1428</v>
      </c>
      <c r="E9" s="11" t="n">
        <v>8000</v>
      </c>
      <c r="F9" s="15" t="n">
        <f aca="false">B9*52</f>
        <v>11436620</v>
      </c>
    </row>
    <row r="10" customFormat="false" ht="15" hidden="false" customHeight="false" outlineLevel="0" collapsed="false">
      <c r="A10" s="7" t="s">
        <v>444</v>
      </c>
      <c r="B10" s="11" t="n">
        <v>206565</v>
      </c>
      <c r="C10" s="12" t="n">
        <v>145</v>
      </c>
      <c r="D10" s="11" t="n">
        <v>1425</v>
      </c>
      <c r="E10" s="11" t="n">
        <v>5000</v>
      </c>
      <c r="F10" s="15" t="n">
        <f aca="false">B10*52</f>
        <v>10741380</v>
      </c>
    </row>
    <row r="11" customFormat="false" ht="15" hidden="false" customHeight="false" outlineLevel="0" collapsed="false">
      <c r="A11" s="7" t="s">
        <v>183</v>
      </c>
      <c r="B11" s="11" t="n">
        <v>172296</v>
      </c>
      <c r="C11" s="12" t="n">
        <v>163</v>
      </c>
      <c r="D11" s="11" t="n">
        <v>1057</v>
      </c>
      <c r="E11" s="11" t="n">
        <v>2703</v>
      </c>
      <c r="F11" s="15" t="n">
        <f aca="false">B11*52</f>
        <v>8959392</v>
      </c>
    </row>
    <row r="12" customFormat="false" ht="15" hidden="false" customHeight="false" outlineLevel="0" collapsed="false">
      <c r="A12" s="7" t="s">
        <v>445</v>
      </c>
      <c r="B12" s="11" t="n">
        <v>71758</v>
      </c>
      <c r="C12" s="12" t="n">
        <v>34</v>
      </c>
      <c r="D12" s="11" t="n">
        <v>2111</v>
      </c>
      <c r="E12" s="11" t="n">
        <v>16699</v>
      </c>
      <c r="F12" s="15" t="n">
        <f aca="false">B12*52</f>
        <v>3731416</v>
      </c>
    </row>
    <row r="13" customFormat="false" ht="15" hidden="false" customHeight="false" outlineLevel="0" collapsed="false">
      <c r="A13" s="7" t="s">
        <v>446</v>
      </c>
      <c r="B13" s="11" t="n">
        <v>43675</v>
      </c>
      <c r="C13" s="12" t="n">
        <v>33</v>
      </c>
      <c r="D13" s="11" t="n">
        <v>1323</v>
      </c>
      <c r="E13" s="11" t="n">
        <v>10094</v>
      </c>
      <c r="F13" s="15" t="n">
        <f aca="false">B13*52</f>
        <v>2271100</v>
      </c>
    </row>
    <row r="14" customFormat="false" ht="15" hidden="false" customHeight="false" outlineLevel="0" collapsed="false">
      <c r="A14" s="7" t="s">
        <v>447</v>
      </c>
      <c r="B14" s="11" t="n">
        <v>39542</v>
      </c>
      <c r="C14" s="12" t="n">
        <v>47</v>
      </c>
      <c r="D14" s="11" t="n">
        <v>841</v>
      </c>
      <c r="E14" s="11" t="n">
        <v>2500</v>
      </c>
      <c r="F14" s="15" t="n">
        <f aca="false">B14*52</f>
        <v>2056184</v>
      </c>
    </row>
    <row r="15" customFormat="false" ht="15" hidden="false" customHeight="false" outlineLevel="0" collapsed="false">
      <c r="A15" s="7" t="s">
        <v>448</v>
      </c>
      <c r="B15" s="11" t="n">
        <v>20746</v>
      </c>
      <c r="C15" s="12" t="n">
        <v>10</v>
      </c>
      <c r="D15" s="11" t="n">
        <v>2075</v>
      </c>
      <c r="E15" s="11" t="n">
        <v>7000</v>
      </c>
      <c r="F15" s="15" t="n">
        <f aca="false">B15*52</f>
        <v>1078792</v>
      </c>
    </row>
    <row r="16" customFormat="false" ht="15" hidden="false" customHeight="false" outlineLevel="0" collapsed="false">
      <c r="A16" s="3" t="s">
        <v>449</v>
      </c>
      <c r="B16" s="30" t="n">
        <f aca="false">SUM(B5:B15)</f>
        <v>15068651</v>
      </c>
      <c r="C16" s="35" t="n">
        <f aca="false">SUM(C5:C15)</f>
        <v>9057</v>
      </c>
      <c r="D16" s="30" t="n">
        <f aca="false">B16/C16</f>
        <v>1663.75742519598</v>
      </c>
      <c r="E16" s="26"/>
      <c r="F16" s="30" t="n">
        <f aca="false">B16*52</f>
        <v>783569852</v>
      </c>
    </row>
    <row r="18" customFormat="false" ht="15" hidden="false" customHeight="false" outlineLevel="0" collapsed="false">
      <c r="A18" s="2" t="s">
        <v>450</v>
      </c>
    </row>
    <row r="19" customFormat="false" ht="15" hidden="false" customHeight="false" outlineLevel="0" collapsed="false">
      <c r="A19" s="2" t="s">
        <v>451</v>
      </c>
    </row>
    <row r="20" customFormat="false" ht="15" hidden="false" customHeight="false" outlineLevel="0" collapsed="false">
      <c r="A20" s="2" t="s">
        <v>452</v>
      </c>
    </row>
    <row r="21" customFormat="false" ht="15" hidden="false" customHeight="false" outlineLevel="0" collapsed="false">
      <c r="A21" s="2" t="s">
        <v>453</v>
      </c>
    </row>
    <row r="22" customFormat="false" ht="15" hidden="false" customHeight="false" outlineLevel="0" collapsed="false">
      <c r="A22" s="2" t="s">
        <v>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2"/>
    <col collapsed="false" customWidth="true" hidden="false" outlineLevel="0" max="5" min="5" style="0" width="13"/>
    <col collapsed="false" customWidth="true" hidden="false" outlineLevel="0" max="6" min="6" style="0" width="11"/>
  </cols>
  <sheetData>
    <row r="1" customFormat="false" ht="17.35" hidden="false" customHeight="false" outlineLevel="0" collapsed="false">
      <c r="A1" s="1" t="s">
        <v>455</v>
      </c>
    </row>
    <row r="2" customFormat="false" ht="15" hidden="false" customHeight="false" outlineLevel="0" collapsed="false">
      <c r="A2" s="2" t="s">
        <v>456</v>
      </c>
    </row>
    <row r="4" customFormat="false" ht="15" hidden="false" customHeight="false" outlineLevel="0" collapsed="false">
      <c r="A4" s="3" t="s">
        <v>457</v>
      </c>
      <c r="B4" s="4"/>
      <c r="C4" s="4"/>
      <c r="D4" s="4"/>
      <c r="E4" s="4"/>
      <c r="F4" s="4"/>
    </row>
    <row r="5" customFormat="false" ht="23.85" hidden="false" customHeight="false" outlineLevel="0" collapsed="false">
      <c r="A5" s="6" t="s">
        <v>458</v>
      </c>
      <c r="B5" s="6" t="s">
        <v>459</v>
      </c>
      <c r="C5" s="6" t="s">
        <v>460</v>
      </c>
      <c r="D5" s="6" t="s">
        <v>461</v>
      </c>
      <c r="E5" s="6" t="s">
        <v>462</v>
      </c>
      <c r="F5" s="6" t="s">
        <v>463</v>
      </c>
    </row>
    <row r="6" customFormat="false" ht="15" hidden="false" customHeight="false" outlineLevel="0" collapsed="false">
      <c r="A6" s="7" t="s">
        <v>464</v>
      </c>
      <c r="B6" s="34" t="n">
        <v>0.1516</v>
      </c>
      <c r="C6" s="34" t="n">
        <v>0.650816666666667</v>
      </c>
      <c r="D6" s="34" t="n">
        <v>0.184616666666667</v>
      </c>
      <c r="E6" s="34" t="n">
        <v>0.000183333333333333</v>
      </c>
      <c r="F6" s="34" t="n">
        <v>0.0127833333333333</v>
      </c>
    </row>
    <row r="7" customFormat="false" ht="15" hidden="false" customHeight="false" outlineLevel="0" collapsed="false">
      <c r="A7" s="2" t="s">
        <v>465</v>
      </c>
    </row>
    <row r="9" customFormat="false" ht="15" hidden="false" customHeight="false" outlineLevel="0" collapsed="false">
      <c r="A9" s="3" t="s">
        <v>466</v>
      </c>
      <c r="B9" s="4"/>
      <c r="C9" s="4"/>
      <c r="D9" s="4"/>
      <c r="E9" s="4"/>
      <c r="F9" s="4"/>
    </row>
    <row r="10" customFormat="false" ht="23.85" hidden="false" customHeight="false" outlineLevel="0" collapsed="false">
      <c r="A10" s="6" t="s">
        <v>458</v>
      </c>
      <c r="B10" s="6" t="s">
        <v>459</v>
      </c>
      <c r="C10" s="6" t="s">
        <v>460</v>
      </c>
      <c r="D10" s="6" t="s">
        <v>461</v>
      </c>
      <c r="E10" s="6" t="s">
        <v>462</v>
      </c>
      <c r="F10" s="6" t="s">
        <v>463</v>
      </c>
    </row>
    <row r="11" customFormat="false" ht="15" hidden="false" customHeight="false" outlineLevel="0" collapsed="false">
      <c r="A11" s="7" t="s">
        <v>281</v>
      </c>
      <c r="B11" s="34" t="n">
        <v>0.213633333333333</v>
      </c>
      <c r="C11" s="34" t="n">
        <v>0.751966666666667</v>
      </c>
      <c r="D11" s="34" t="n">
        <v>0.0165</v>
      </c>
      <c r="E11" s="34" t="n">
        <v>0.00125</v>
      </c>
      <c r="F11" s="34" t="n">
        <v>0.01665</v>
      </c>
    </row>
    <row r="12" customFormat="false" ht="15" hidden="false" customHeight="false" outlineLevel="0" collapsed="false">
      <c r="A12" s="7" t="s">
        <v>467</v>
      </c>
      <c r="B12" s="34" t="n">
        <v>0.153333333333333</v>
      </c>
      <c r="C12" s="34" t="n">
        <v>0.649033333333333</v>
      </c>
      <c r="D12" s="34" t="n">
        <v>0.185083333333333</v>
      </c>
      <c r="E12" s="34" t="n">
        <v>0.00025</v>
      </c>
      <c r="F12" s="34" t="n">
        <v>0.0123</v>
      </c>
    </row>
    <row r="13" customFormat="false" ht="15" hidden="false" customHeight="false" outlineLevel="0" collapsed="false">
      <c r="A13" s="7" t="s">
        <v>468</v>
      </c>
      <c r="B13" s="34" t="n">
        <v>0.141566666666667</v>
      </c>
      <c r="C13" s="34" t="n">
        <v>0.626383333333333</v>
      </c>
      <c r="D13" s="34" t="n">
        <v>0.220483333333333</v>
      </c>
      <c r="E13" s="34" t="n">
        <v>0.000283333333333333</v>
      </c>
      <c r="F13" s="34" t="n">
        <v>0.0112833333333333</v>
      </c>
    </row>
    <row r="14" customFormat="false" ht="15" hidden="false" customHeight="false" outlineLevel="0" collapsed="false">
      <c r="A14" s="2" t="s">
        <v>469</v>
      </c>
    </row>
    <row r="16" customFormat="false" ht="15" hidden="false" customHeight="false" outlineLevel="0" collapsed="false">
      <c r="A16" s="3" t="s">
        <v>470</v>
      </c>
      <c r="B16" s="4"/>
      <c r="C16" s="4"/>
      <c r="D16" s="4"/>
      <c r="E16" s="4"/>
      <c r="F16" s="4"/>
    </row>
    <row r="17" customFormat="false" ht="23.85" hidden="false" customHeight="false" outlineLevel="0" collapsed="false">
      <c r="A17" s="6" t="s">
        <v>458</v>
      </c>
      <c r="B17" s="6" t="s">
        <v>459</v>
      </c>
      <c r="C17" s="6" t="s">
        <v>460</v>
      </c>
      <c r="D17" s="6" t="s">
        <v>461</v>
      </c>
      <c r="E17" s="6" t="s">
        <v>462</v>
      </c>
      <c r="F17" s="6" t="s">
        <v>463</v>
      </c>
    </row>
    <row r="18" customFormat="false" ht="15" hidden="false" customHeight="false" outlineLevel="0" collapsed="false">
      <c r="A18" s="7" t="s">
        <v>471</v>
      </c>
      <c r="B18" s="34" t="n">
        <v>0.0677</v>
      </c>
      <c r="C18" s="34" t="n">
        <v>0.531483333333333</v>
      </c>
      <c r="D18" s="34" t="n">
        <v>0.395983333333333</v>
      </c>
      <c r="E18" s="34" t="n">
        <v>0</v>
      </c>
      <c r="F18" s="34" t="n">
        <v>0.00483333333333333</v>
      </c>
    </row>
    <row r="19" customFormat="false" ht="15" hidden="false" customHeight="false" outlineLevel="0" collapsed="false">
      <c r="A19" s="7" t="s">
        <v>472</v>
      </c>
      <c r="B19" s="34" t="n">
        <v>0.151166666666667</v>
      </c>
      <c r="C19" s="34" t="n">
        <v>0.652333333333333</v>
      </c>
      <c r="D19" s="34" t="n">
        <v>0.183816666666667</v>
      </c>
      <c r="E19" s="34" t="n">
        <v>0.000133333333333333</v>
      </c>
      <c r="F19" s="34" t="n">
        <v>0.01255</v>
      </c>
    </row>
    <row r="20" customFormat="false" ht="15" hidden="false" customHeight="false" outlineLevel="0" collapsed="false">
      <c r="A20" s="7" t="s">
        <v>473</v>
      </c>
      <c r="B20" s="34" t="n">
        <v>0.194316666666667</v>
      </c>
      <c r="C20" s="34" t="n">
        <v>0.71715</v>
      </c>
      <c r="D20" s="34" t="n">
        <v>0.0677</v>
      </c>
      <c r="E20" s="34" t="n">
        <v>0.000883333333333333</v>
      </c>
      <c r="F20" s="34" t="n">
        <v>0.01995</v>
      </c>
    </row>
    <row r="21" customFormat="false" ht="15" hidden="false" customHeight="false" outlineLevel="0" collapsed="false">
      <c r="A21" s="7" t="s">
        <v>474</v>
      </c>
      <c r="B21" s="34" t="n">
        <v>0.201916666666667</v>
      </c>
      <c r="C21" s="34" t="n">
        <v>0.735816666666667</v>
      </c>
      <c r="D21" s="34" t="n">
        <v>0.0394666666666667</v>
      </c>
      <c r="E21" s="34" t="n">
        <v>0.0014</v>
      </c>
      <c r="F21" s="34" t="n">
        <v>0.0214</v>
      </c>
    </row>
    <row r="23" customFormat="false" ht="15" hidden="false" customHeight="false" outlineLevel="0" collapsed="false">
      <c r="A23" s="3" t="s">
        <v>475</v>
      </c>
      <c r="B23" s="4"/>
      <c r="C23" s="4"/>
      <c r="D23" s="4"/>
      <c r="E23" s="4"/>
      <c r="F23" s="4"/>
    </row>
    <row r="24" customFormat="false" ht="23.85" hidden="false" customHeight="false" outlineLevel="0" collapsed="false">
      <c r="A24" s="6" t="s">
        <v>458</v>
      </c>
      <c r="B24" s="6" t="s">
        <v>459</v>
      </c>
      <c r="C24" s="6" t="s">
        <v>460</v>
      </c>
      <c r="D24" s="6" t="s">
        <v>461</v>
      </c>
      <c r="E24" s="6" t="s">
        <v>462</v>
      </c>
      <c r="F24" s="6" t="s">
        <v>463</v>
      </c>
    </row>
    <row r="25" customFormat="false" ht="15" hidden="false" customHeight="false" outlineLevel="0" collapsed="false">
      <c r="A25" s="7" t="s">
        <v>97</v>
      </c>
      <c r="B25" s="34" t="n">
        <v>0.237916666666667</v>
      </c>
      <c r="C25" s="34" t="n">
        <v>0</v>
      </c>
      <c r="D25" s="34" t="n">
        <v>0.7444</v>
      </c>
      <c r="E25" s="34" t="n">
        <v>0.000333333333333333</v>
      </c>
      <c r="F25" s="34" t="n">
        <v>0.01735</v>
      </c>
    </row>
    <row r="26" customFormat="false" ht="15" hidden="false" customHeight="false" outlineLevel="0" collapsed="false">
      <c r="A26" s="7" t="s">
        <v>476</v>
      </c>
      <c r="B26" s="34" t="n">
        <v>0.153133333333333</v>
      </c>
      <c r="C26" s="34" t="n">
        <v>0.652216666666667</v>
      </c>
      <c r="D26" s="34" t="n">
        <v>0.18185</v>
      </c>
      <c r="E26" s="34" t="n">
        <v>0.000216666666666667</v>
      </c>
      <c r="F26" s="34" t="n">
        <v>0.0125833333333333</v>
      </c>
    </row>
    <row r="27" customFormat="false" ht="15" hidden="false" customHeight="false" outlineLevel="0" collapsed="false">
      <c r="A27" s="7" t="s">
        <v>471</v>
      </c>
      <c r="B27" s="34" t="n">
        <v>0.211216666666667</v>
      </c>
      <c r="C27" s="34" t="n">
        <v>0.471783333333333</v>
      </c>
      <c r="D27" s="34" t="n">
        <v>0.300483333333333</v>
      </c>
      <c r="E27" s="34" t="n">
        <v>0.000433333333333333</v>
      </c>
      <c r="F27" s="34" t="n">
        <v>0.0160833333333333</v>
      </c>
    </row>
    <row r="28" customFormat="false" ht="15" hidden="false" customHeight="false" outlineLevel="0" collapsed="false">
      <c r="A28" s="7" t="s">
        <v>472</v>
      </c>
      <c r="B28" s="34" t="n">
        <v>0.23985</v>
      </c>
      <c r="C28" s="34" t="n">
        <v>0.227283333333333</v>
      </c>
      <c r="D28" s="34" t="n">
        <v>0.514683333333333</v>
      </c>
      <c r="E28" s="34" t="n">
        <v>0.000316666666666667</v>
      </c>
      <c r="F28" s="34" t="n">
        <v>0.0178666666666667</v>
      </c>
    </row>
    <row r="29" customFormat="false" ht="15" hidden="false" customHeight="false" outlineLevel="0" collapsed="false">
      <c r="A29" s="2" t="s">
        <v>477</v>
      </c>
    </row>
    <row r="31" customFormat="false" ht="15" hidden="false" customHeight="false" outlineLevel="0" collapsed="false">
      <c r="A31" s="3" t="s">
        <v>478</v>
      </c>
      <c r="B31" s="4"/>
      <c r="C31" s="4"/>
      <c r="D31" s="4"/>
      <c r="E31" s="4"/>
      <c r="F31" s="4"/>
    </row>
    <row r="32" customFormat="false" ht="23.85" hidden="false" customHeight="false" outlineLevel="0" collapsed="false">
      <c r="A32" s="6" t="s">
        <v>458</v>
      </c>
      <c r="B32" s="6" t="s">
        <v>459</v>
      </c>
      <c r="C32" s="6" t="s">
        <v>460</v>
      </c>
      <c r="D32" s="6" t="s">
        <v>461</v>
      </c>
      <c r="E32" s="6" t="s">
        <v>462</v>
      </c>
      <c r="F32" s="6" t="s">
        <v>463</v>
      </c>
    </row>
    <row r="33" customFormat="false" ht="15" hidden="false" customHeight="false" outlineLevel="0" collapsed="false">
      <c r="A33" s="7" t="s">
        <v>97</v>
      </c>
      <c r="B33" s="34" t="n">
        <v>0.175533333333333</v>
      </c>
      <c r="C33" s="34" t="n">
        <v>0.6337</v>
      </c>
      <c r="D33" s="34" t="n">
        <v>0.178983333333333</v>
      </c>
      <c r="E33" s="34" t="n">
        <v>0</v>
      </c>
      <c r="F33" s="34" t="n">
        <v>0.0117833333333333</v>
      </c>
    </row>
    <row r="34" customFormat="false" ht="15" hidden="false" customHeight="false" outlineLevel="0" collapsed="false">
      <c r="A34" s="7" t="s">
        <v>99</v>
      </c>
      <c r="B34" s="34" t="n">
        <v>0.153333333333333</v>
      </c>
      <c r="C34" s="34" t="n">
        <v>0.65045</v>
      </c>
      <c r="D34" s="34" t="n">
        <v>0.183683333333333</v>
      </c>
      <c r="E34" s="34" t="n">
        <v>0.000233333333333333</v>
      </c>
      <c r="F34" s="34" t="n">
        <v>0.0123</v>
      </c>
    </row>
    <row r="35" customFormat="false" ht="15" hidden="false" customHeight="false" outlineLevel="0" collapsed="false">
      <c r="A35" s="7" t="s">
        <v>171</v>
      </c>
      <c r="B35" s="34" t="n">
        <v>0.129566666666667</v>
      </c>
      <c r="C35" s="34" t="n">
        <v>0.670183333333333</v>
      </c>
      <c r="D35" s="34" t="n">
        <v>0.187533333333333</v>
      </c>
      <c r="E35" s="34" t="n">
        <v>0.000733333333333333</v>
      </c>
      <c r="F35" s="34" t="n">
        <v>0.0119833333333333</v>
      </c>
    </row>
    <row r="36" customFormat="false" ht="15" hidden="false" customHeight="false" outlineLevel="0" collapsed="false">
      <c r="A36" s="7" t="s">
        <v>145</v>
      </c>
      <c r="B36" s="34" t="n">
        <v>0.09515</v>
      </c>
      <c r="C36" s="34" t="n">
        <v>0.6991</v>
      </c>
      <c r="D36" s="34" t="n">
        <v>0.191833333333333</v>
      </c>
      <c r="E36" s="34" t="n">
        <v>0.00118333333333333</v>
      </c>
      <c r="F36" s="34" t="n">
        <v>0.0127333333333333</v>
      </c>
    </row>
    <row r="37" customFormat="false" ht="15" hidden="false" customHeight="false" outlineLevel="0" collapsed="false">
      <c r="A37" s="7" t="s">
        <v>204</v>
      </c>
      <c r="B37" s="34" t="n">
        <v>0.0529</v>
      </c>
      <c r="C37" s="34" t="n">
        <v>0.728616666666667</v>
      </c>
      <c r="D37" s="34" t="n">
        <v>0.201216666666667</v>
      </c>
      <c r="E37" s="34" t="n">
        <v>0.00391666666666667</v>
      </c>
      <c r="F37" s="34" t="n">
        <v>0.01335</v>
      </c>
    </row>
    <row r="39" customFormat="false" ht="15" hidden="false" customHeight="false" outlineLevel="0" collapsed="false">
      <c r="A39" s="3" t="s">
        <v>479</v>
      </c>
      <c r="B39" s="4"/>
      <c r="C39" s="4"/>
      <c r="D39" s="4"/>
      <c r="E39" s="4"/>
      <c r="F39" s="4"/>
    </row>
    <row r="40" customFormat="false" ht="23.85" hidden="false" customHeight="false" outlineLevel="0" collapsed="false">
      <c r="A40" s="6" t="s">
        <v>458</v>
      </c>
      <c r="B40" s="6" t="s">
        <v>459</v>
      </c>
      <c r="C40" s="6" t="s">
        <v>460</v>
      </c>
      <c r="D40" s="6" t="s">
        <v>461</v>
      </c>
      <c r="E40" s="6" t="s">
        <v>462</v>
      </c>
      <c r="F40" s="6" t="s">
        <v>463</v>
      </c>
    </row>
    <row r="41" customFormat="false" ht="15" hidden="false" customHeight="false" outlineLevel="0" collapsed="false">
      <c r="A41" s="7" t="s">
        <v>480</v>
      </c>
      <c r="B41" s="34" t="n">
        <v>0.152466666666667</v>
      </c>
      <c r="C41" s="34" t="n">
        <v>0.650016666666667</v>
      </c>
      <c r="D41" s="34" t="n">
        <v>0.185016666666667</v>
      </c>
      <c r="E41" s="34" t="n">
        <v>0.000233333333333333</v>
      </c>
      <c r="F41" s="34" t="n">
        <v>0.0122666666666667</v>
      </c>
    </row>
    <row r="42" customFormat="false" ht="15" hidden="false" customHeight="false" outlineLevel="0" collapsed="false">
      <c r="A42" s="7" t="s">
        <v>481</v>
      </c>
      <c r="B42" s="34" t="n">
        <v>0.1512</v>
      </c>
      <c r="C42" s="34" t="n">
        <v>0.653833333333333</v>
      </c>
      <c r="D42" s="34" t="n">
        <v>0.1832</v>
      </c>
      <c r="E42" s="34" t="n">
        <v>0.000233333333333333</v>
      </c>
      <c r="F42" s="34" t="n">
        <v>0.0115333333333333</v>
      </c>
    </row>
    <row r="43" customFormat="false" ht="15" hidden="false" customHeight="false" outlineLevel="0" collapsed="false">
      <c r="A43" s="7" t="s">
        <v>482</v>
      </c>
      <c r="B43" s="34" t="n">
        <v>0.151033333333333</v>
      </c>
      <c r="C43" s="34" t="n">
        <v>0.651516666666667</v>
      </c>
      <c r="D43" s="34" t="n">
        <v>0.185116666666667</v>
      </c>
      <c r="E43" s="34" t="n">
        <v>0.000183333333333333</v>
      </c>
      <c r="F43" s="34" t="n">
        <v>0.01215</v>
      </c>
    </row>
    <row r="44" customFormat="false" ht="15" hidden="false" customHeight="false" outlineLevel="0" collapsed="false">
      <c r="A44" s="7" t="s">
        <v>483</v>
      </c>
      <c r="B44" s="34" t="n">
        <v>0.129333333333333</v>
      </c>
      <c r="C44" s="34" t="n">
        <v>0.669033333333333</v>
      </c>
      <c r="D44" s="34" t="n">
        <v>0.1896</v>
      </c>
      <c r="E44" s="34" t="n">
        <v>0.00015</v>
      </c>
      <c r="F44" s="34" t="n">
        <v>0.0118833333333333</v>
      </c>
    </row>
    <row r="45" customFormat="false" ht="15" hidden="false" customHeight="false" outlineLevel="0" collapsed="false">
      <c r="A45" s="7" t="s">
        <v>298</v>
      </c>
      <c r="B45" s="34" t="n">
        <v>0.0834833333333333</v>
      </c>
      <c r="C45" s="34" t="n">
        <v>0.705366666666667</v>
      </c>
      <c r="D45" s="34" t="n">
        <v>0.19805</v>
      </c>
      <c r="E45" s="34" t="n">
        <v>0.0003</v>
      </c>
      <c r="F45" s="34" t="n">
        <v>0.0128</v>
      </c>
    </row>
    <row r="46" customFormat="false" ht="15" hidden="false" customHeight="false" outlineLevel="0" collapsed="false">
      <c r="A46" s="2" t="s">
        <v>484</v>
      </c>
    </row>
    <row r="48" customFormat="false" ht="15" hidden="false" customHeight="false" outlineLevel="0" collapsed="false">
      <c r="A48" s="3" t="s">
        <v>485</v>
      </c>
      <c r="B48" s="4"/>
      <c r="C48" s="4"/>
      <c r="D48" s="4"/>
      <c r="E48" s="4"/>
      <c r="F48" s="4"/>
    </row>
    <row r="49" customFormat="false" ht="23.85" hidden="false" customHeight="false" outlineLevel="0" collapsed="false">
      <c r="A49" s="6" t="s">
        <v>458</v>
      </c>
      <c r="B49" s="6" t="s">
        <v>459</v>
      </c>
      <c r="C49" s="6" t="s">
        <v>460</v>
      </c>
      <c r="D49" s="6" t="s">
        <v>461</v>
      </c>
      <c r="E49" s="6" t="s">
        <v>462</v>
      </c>
      <c r="F49" s="6" t="s">
        <v>463</v>
      </c>
    </row>
    <row r="50" customFormat="false" ht="15" hidden="false" customHeight="false" outlineLevel="0" collapsed="false">
      <c r="A50" s="7" t="s">
        <v>486</v>
      </c>
      <c r="B50" s="34" t="n">
        <v>0.152866666666667</v>
      </c>
      <c r="C50" s="34" t="n">
        <v>0.650016666666667</v>
      </c>
      <c r="D50" s="34" t="n">
        <v>0.1851</v>
      </c>
      <c r="E50" s="34" t="n">
        <v>0.0002</v>
      </c>
      <c r="F50" s="34" t="n">
        <v>0.0118166666666667</v>
      </c>
    </row>
    <row r="51" customFormat="false" ht="15" hidden="false" customHeight="false" outlineLevel="0" collapsed="false">
      <c r="A51" s="7" t="s">
        <v>473</v>
      </c>
      <c r="B51" s="34" t="n">
        <v>0.118533333333333</v>
      </c>
      <c r="C51" s="34" t="n">
        <v>0.671866666666667</v>
      </c>
      <c r="D51" s="34" t="n">
        <v>0.1932</v>
      </c>
      <c r="E51" s="34" t="n">
        <v>1.66666666666667E-005</v>
      </c>
      <c r="F51" s="34" t="n">
        <v>0.0163833333333333</v>
      </c>
    </row>
    <row r="52" customFormat="false" ht="15" hidden="false" customHeight="false" outlineLevel="0" collapsed="false">
      <c r="A52" s="7" t="s">
        <v>474</v>
      </c>
      <c r="B52" s="34" t="n">
        <v>0.08985</v>
      </c>
      <c r="C52" s="34" t="n">
        <v>0.698733333333333</v>
      </c>
      <c r="D52" s="34" t="n">
        <v>0.191916666666667</v>
      </c>
      <c r="E52" s="34" t="n">
        <v>0</v>
      </c>
      <c r="F52" s="34" t="n">
        <v>0.0195</v>
      </c>
    </row>
    <row r="53" customFormat="false" ht="15" hidden="false" customHeight="false" outlineLevel="0" collapsed="false">
      <c r="A53" s="2" t="s">
        <v>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488</v>
      </c>
    </row>
    <row r="2" customFormat="false" ht="15" hidden="false" customHeight="false" outlineLevel="0" collapsed="false">
      <c r="A2" s="2" t="s">
        <v>489</v>
      </c>
    </row>
    <row r="4" customFormat="false" ht="15" hidden="false" customHeight="false" outlineLevel="0" collapsed="false">
      <c r="A4" s="3" t="s">
        <v>490</v>
      </c>
      <c r="B4" s="4"/>
      <c r="C4" s="4"/>
      <c r="D4" s="4"/>
      <c r="E4" s="4"/>
    </row>
    <row r="5" customFormat="false" ht="23.85" hidden="false" customHeight="false" outlineLevel="0" collapsed="false">
      <c r="A5" s="6" t="s">
        <v>458</v>
      </c>
      <c r="B5" s="6" t="s">
        <v>491</v>
      </c>
      <c r="C5" s="6" t="s">
        <v>492</v>
      </c>
      <c r="D5" s="6" t="s">
        <v>493</v>
      </c>
      <c r="E5" s="6" t="s">
        <v>382</v>
      </c>
    </row>
    <row r="6" customFormat="false" ht="15" hidden="false" customHeight="false" outlineLevel="0" collapsed="false">
      <c r="A6" s="7" t="s">
        <v>464</v>
      </c>
      <c r="B6" s="34" t="n">
        <v>0.481530343007916</v>
      </c>
      <c r="C6" s="36" t="n">
        <v>2.2175799086758</v>
      </c>
      <c r="D6" s="15" t="n">
        <v>1881.51834941786</v>
      </c>
      <c r="E6" s="15" t="n">
        <v>1808.23097571527</v>
      </c>
    </row>
    <row r="7" customFormat="false" ht="15" hidden="false" customHeight="false" outlineLevel="0" collapsed="false">
      <c r="A7" s="2" t="s">
        <v>494</v>
      </c>
    </row>
    <row r="9" customFormat="false" ht="15" hidden="false" customHeight="false" outlineLevel="0" collapsed="false">
      <c r="A9" s="3" t="s">
        <v>495</v>
      </c>
      <c r="B9" s="4"/>
      <c r="C9" s="4"/>
      <c r="D9" s="4"/>
      <c r="E9" s="4"/>
    </row>
    <row r="10" customFormat="false" ht="23.85" hidden="false" customHeight="false" outlineLevel="0" collapsed="false">
      <c r="A10" s="6" t="s">
        <v>458</v>
      </c>
      <c r="B10" s="6" t="s">
        <v>491</v>
      </c>
      <c r="C10" s="6" t="s">
        <v>492</v>
      </c>
      <c r="D10" s="6" t="s">
        <v>493</v>
      </c>
      <c r="E10" s="6" t="s">
        <v>382</v>
      </c>
    </row>
    <row r="11" customFormat="false" ht="15" hidden="false" customHeight="false" outlineLevel="0" collapsed="false">
      <c r="A11" s="7" t="s">
        <v>281</v>
      </c>
      <c r="B11" s="34" t="n">
        <v>0.659262501367765</v>
      </c>
      <c r="C11" s="36" t="n">
        <v>2.39103734439834</v>
      </c>
      <c r="D11" s="15" t="n">
        <v>1909.5851005475</v>
      </c>
      <c r="E11" s="15" t="n">
        <v>2709.10763350897</v>
      </c>
    </row>
    <row r="12" customFormat="false" ht="15" hidden="false" customHeight="false" outlineLevel="0" collapsed="false">
      <c r="A12" s="7" t="s">
        <v>467</v>
      </c>
      <c r="B12" s="34" t="n">
        <v>0.492832913885546</v>
      </c>
      <c r="C12" s="36" t="n">
        <v>2.20426287744227</v>
      </c>
      <c r="D12" s="15" t="n">
        <v>1877.95052637691</v>
      </c>
      <c r="E12" s="15" t="n">
        <v>1836.07216799245</v>
      </c>
    </row>
    <row r="13" customFormat="false" ht="15" hidden="false" customHeight="false" outlineLevel="0" collapsed="false">
      <c r="A13" s="7" t="s">
        <v>468</v>
      </c>
      <c r="B13" s="34" t="n">
        <v>0.453769559032717</v>
      </c>
      <c r="C13" s="36" t="n">
        <v>2.2160598022667</v>
      </c>
      <c r="D13" s="15" t="n">
        <v>1876.55298441101</v>
      </c>
      <c r="E13" s="15" t="n">
        <v>1698.32254448665</v>
      </c>
    </row>
    <row r="14" customFormat="false" ht="15" hidden="false" customHeight="false" outlineLevel="0" collapsed="false">
      <c r="A14" s="2" t="s">
        <v>496</v>
      </c>
    </row>
    <row r="16" customFormat="false" ht="15" hidden="false" customHeight="false" outlineLevel="0" collapsed="false">
      <c r="A16" s="3" t="s">
        <v>497</v>
      </c>
      <c r="B16" s="4"/>
      <c r="C16" s="4"/>
      <c r="D16" s="4"/>
      <c r="E16" s="4"/>
    </row>
    <row r="17" customFormat="false" ht="23.85" hidden="false" customHeight="false" outlineLevel="0" collapsed="false">
      <c r="A17" s="6" t="s">
        <v>458</v>
      </c>
      <c r="B17" s="6" t="s">
        <v>491</v>
      </c>
      <c r="C17" s="6" t="s">
        <v>492</v>
      </c>
      <c r="D17" s="6" t="s">
        <v>493</v>
      </c>
      <c r="E17" s="6" t="s">
        <v>382</v>
      </c>
    </row>
    <row r="18" customFormat="false" ht="15" hidden="false" customHeight="false" outlineLevel="0" collapsed="false">
      <c r="A18" s="7" t="s">
        <v>471</v>
      </c>
      <c r="B18" s="34" t="n">
        <v>0.311303206040048</v>
      </c>
      <c r="C18" s="36" t="n">
        <v>2.10861159929701</v>
      </c>
      <c r="D18" s="15" t="n">
        <v>1849.30449830425</v>
      </c>
      <c r="E18" s="15" t="n">
        <v>1092.52433710411</v>
      </c>
    </row>
    <row r="19" customFormat="false" ht="15" hidden="false" customHeight="false" outlineLevel="0" collapsed="false">
      <c r="A19" s="7" t="s">
        <v>472</v>
      </c>
      <c r="B19" s="34" t="n">
        <v>0.486158223000328</v>
      </c>
      <c r="C19" s="36" t="n">
        <v>2.23745217195589</v>
      </c>
      <c r="D19" s="15" t="n">
        <v>1888.62195240175</v>
      </c>
      <c r="E19" s="15" t="n">
        <v>1848.92348680854</v>
      </c>
    </row>
    <row r="20" customFormat="false" ht="15" hidden="false" customHeight="false" outlineLevel="0" collapsed="false">
      <c r="A20" s="7" t="s">
        <v>473</v>
      </c>
      <c r="B20" s="34" t="n">
        <v>0.602254075938287</v>
      </c>
      <c r="C20" s="36" t="n">
        <v>2.30105377906977</v>
      </c>
      <c r="D20" s="15" t="n">
        <v>1899.83788036338</v>
      </c>
      <c r="E20" s="15" t="n">
        <v>2369.54831812255</v>
      </c>
    </row>
    <row r="21" customFormat="false" ht="15" hidden="false" customHeight="false" outlineLevel="0" collapsed="false">
      <c r="A21" s="7" t="s">
        <v>474</v>
      </c>
      <c r="B21" s="34" t="n">
        <v>0.641317430791115</v>
      </c>
      <c r="C21" s="36" t="n">
        <v>2.33714383211056</v>
      </c>
      <c r="D21" s="15" t="n">
        <v>1901.86715341319</v>
      </c>
      <c r="E21" s="15" t="n">
        <v>2565.55406945055</v>
      </c>
    </row>
    <row r="22" customFormat="false" ht="15" hidden="false" customHeight="false" outlineLevel="0" collapsed="false">
      <c r="A22" s="2" t="s">
        <v>498</v>
      </c>
    </row>
    <row r="24" customFormat="false" ht="15" hidden="false" customHeight="false" outlineLevel="0" collapsed="false">
      <c r="A24" s="3" t="s">
        <v>499</v>
      </c>
      <c r="B24" s="4"/>
      <c r="C24" s="4"/>
      <c r="D24" s="4"/>
      <c r="E24" s="4"/>
    </row>
    <row r="25" customFormat="false" ht="23.85" hidden="false" customHeight="false" outlineLevel="0" collapsed="false">
      <c r="A25" s="6" t="s">
        <v>458</v>
      </c>
      <c r="B25" s="6" t="s">
        <v>491</v>
      </c>
      <c r="C25" s="6" t="s">
        <v>492</v>
      </c>
      <c r="D25" s="6" t="s">
        <v>493</v>
      </c>
      <c r="E25" s="6" t="s">
        <v>382</v>
      </c>
    </row>
    <row r="26" customFormat="false" ht="15" hidden="false" customHeight="false" outlineLevel="0" collapsed="false">
      <c r="A26" s="7" t="s">
        <v>97</v>
      </c>
      <c r="B26" s="34" t="n">
        <v>0.521063573695153</v>
      </c>
      <c r="C26" s="36" t="n">
        <v>2.73057538849223</v>
      </c>
      <c r="D26" s="15" t="n">
        <v>1820.19487462708</v>
      </c>
      <c r="E26" s="15" t="n">
        <v>2330.80146178994</v>
      </c>
    </row>
    <row r="27" customFormat="false" ht="15" hidden="false" customHeight="false" outlineLevel="0" collapsed="false">
      <c r="A27" s="7" t="s">
        <v>99</v>
      </c>
      <c r="B27" s="34" t="n">
        <v>0.482000218842324</v>
      </c>
      <c r="C27" s="36" t="n">
        <v>2.2410896708286</v>
      </c>
      <c r="D27" s="15" t="n">
        <v>1881.04591623684</v>
      </c>
      <c r="E27" s="15" t="n">
        <v>1828.72488856341</v>
      </c>
    </row>
    <row r="28" customFormat="false" ht="15" hidden="false" customHeight="false" outlineLevel="0" collapsed="false">
      <c r="A28" s="7" t="s">
        <v>171</v>
      </c>
      <c r="B28" s="34" t="n">
        <v>0.45748987854251</v>
      </c>
      <c r="C28" s="36" t="n">
        <v>1.93829227457546</v>
      </c>
      <c r="D28" s="15" t="n">
        <v>1910.80866483789</v>
      </c>
      <c r="E28" s="15" t="n">
        <v>1524.96707274993</v>
      </c>
    </row>
    <row r="29" customFormat="false" ht="15" hidden="false" customHeight="false" outlineLevel="0" collapsed="false">
      <c r="A29" s="7" t="s">
        <v>145</v>
      </c>
      <c r="B29" s="34" t="n">
        <v>0.380785643943539</v>
      </c>
      <c r="C29" s="36" t="n">
        <v>1.55977011494253</v>
      </c>
      <c r="D29" s="15" t="n">
        <v>1942.49188547826</v>
      </c>
      <c r="E29" s="15" t="n">
        <v>1038.34788914962</v>
      </c>
    </row>
    <row r="30" customFormat="false" ht="15" hidden="false" customHeight="false" outlineLevel="0" collapsed="false">
      <c r="A30" s="7" t="s">
        <v>204</v>
      </c>
      <c r="B30" s="34" t="n">
        <v>0.222124958967064</v>
      </c>
      <c r="C30" s="36" t="n">
        <v>1.19310344827586</v>
      </c>
      <c r="D30" s="15" t="n">
        <v>1979.71757239291</v>
      </c>
      <c r="E30" s="15" t="n">
        <v>472.194809530809</v>
      </c>
    </row>
    <row r="31" customFormat="false" ht="15" hidden="false" customHeight="false" outlineLevel="0" collapsed="false">
      <c r="A31" s="2" t="s">
        <v>500</v>
      </c>
    </row>
    <row r="33" customFormat="false" ht="15" hidden="false" customHeight="false" outlineLevel="0" collapsed="false">
      <c r="A33" s="3" t="s">
        <v>501</v>
      </c>
      <c r="B33" s="4"/>
      <c r="C33" s="4"/>
      <c r="D33" s="4"/>
      <c r="E33" s="4"/>
    </row>
    <row r="34" customFormat="false" ht="23.85" hidden="false" customHeight="false" outlineLevel="0" collapsed="false">
      <c r="A34" s="6" t="s">
        <v>458</v>
      </c>
      <c r="B34" s="6" t="s">
        <v>491</v>
      </c>
      <c r="C34" s="6" t="s">
        <v>492</v>
      </c>
      <c r="D34" s="6" t="s">
        <v>493</v>
      </c>
      <c r="E34" s="6" t="s">
        <v>382</v>
      </c>
    </row>
    <row r="35" customFormat="false" ht="15" hidden="false" customHeight="false" outlineLevel="0" collapsed="false">
      <c r="A35" s="7" t="s">
        <v>480</v>
      </c>
      <c r="B35" s="34" t="n">
        <v>0.483750957435168</v>
      </c>
      <c r="C35" s="36" t="n">
        <v>2.23931237276634</v>
      </c>
      <c r="D35" s="15" t="n">
        <v>1880.30488820617</v>
      </c>
      <c r="E35" s="15" t="n">
        <v>1833.18924979943</v>
      </c>
    </row>
    <row r="36" customFormat="false" ht="15" hidden="false" customHeight="false" outlineLevel="0" collapsed="false">
      <c r="A36" s="7" t="s">
        <v>502</v>
      </c>
      <c r="B36" s="34" t="n">
        <v>0.484735747893643</v>
      </c>
      <c r="C36" s="36" t="n">
        <v>2.22663656884876</v>
      </c>
      <c r="D36" s="15" t="n">
        <v>1880.74341192615</v>
      </c>
      <c r="E36" s="15" t="n">
        <v>1826.94908783407</v>
      </c>
    </row>
    <row r="37" customFormat="false" ht="15" hidden="false" customHeight="false" outlineLevel="0" collapsed="false">
      <c r="A37" s="7" t="s">
        <v>483</v>
      </c>
      <c r="B37" s="34" t="n">
        <v>0.496006127585075</v>
      </c>
      <c r="C37" s="36" t="n">
        <v>2.21376571806751</v>
      </c>
      <c r="D37" s="15" t="n">
        <v>1876.75312211213</v>
      </c>
      <c r="E37" s="15" t="n">
        <v>1854.67729755506</v>
      </c>
    </row>
    <row r="38" customFormat="false" ht="15" hidden="false" customHeight="false" outlineLevel="0" collapsed="false">
      <c r="A38" s="7" t="s">
        <v>118</v>
      </c>
      <c r="B38" s="34" t="n">
        <v>0.46985446985447</v>
      </c>
      <c r="C38" s="36" t="n">
        <v>2.19119701909641</v>
      </c>
      <c r="D38" s="15" t="n">
        <v>1898.83762495701</v>
      </c>
      <c r="E38" s="15" t="n">
        <v>1759.44270619307</v>
      </c>
    </row>
    <row r="39" customFormat="false" ht="15" hidden="false" customHeight="false" outlineLevel="0" collapsed="false">
      <c r="A39" s="7" t="s">
        <v>298</v>
      </c>
      <c r="B39" s="34" t="n">
        <v>0.466790677316993</v>
      </c>
      <c r="C39" s="36" t="n">
        <v>2.1179090482888</v>
      </c>
      <c r="D39" s="15" t="n">
        <v>1919.96561341269</v>
      </c>
      <c r="E39" s="15" t="n">
        <v>1708.30510837786</v>
      </c>
    </row>
    <row r="40" customFormat="false" ht="15" hidden="false" customHeight="false" outlineLevel="0" collapsed="false">
      <c r="A40" s="2" t="s">
        <v>503</v>
      </c>
    </row>
    <row r="42" customFormat="false" ht="15" hidden="false" customHeight="false" outlineLevel="0" collapsed="false">
      <c r="A42" s="3" t="s">
        <v>504</v>
      </c>
      <c r="B42" s="4"/>
      <c r="C42" s="4"/>
      <c r="D42" s="4"/>
      <c r="E42" s="4"/>
    </row>
    <row r="43" customFormat="false" ht="23.85" hidden="false" customHeight="false" outlineLevel="0" collapsed="false">
      <c r="A43" s="6" t="s">
        <v>458</v>
      </c>
      <c r="B43" s="6" t="s">
        <v>491</v>
      </c>
      <c r="C43" s="6" t="s">
        <v>492</v>
      </c>
      <c r="D43" s="6" t="s">
        <v>493</v>
      </c>
      <c r="E43" s="6" t="s">
        <v>382</v>
      </c>
    </row>
    <row r="44" customFormat="false" ht="15" hidden="false" customHeight="false" outlineLevel="0" collapsed="false">
      <c r="A44" s="7" t="s">
        <v>505</v>
      </c>
      <c r="B44" s="34" t="n">
        <v>0.491957544589124</v>
      </c>
      <c r="C44" s="36" t="n">
        <v>2.394128113879</v>
      </c>
      <c r="D44" s="15" t="n">
        <v>1827.54254273535</v>
      </c>
      <c r="E44" s="15" t="n">
        <v>1937.24708797494</v>
      </c>
    </row>
    <row r="45" customFormat="false" ht="15" hidden="false" customHeight="false" outlineLevel="0" collapsed="false">
      <c r="A45" s="7" t="s">
        <v>506</v>
      </c>
      <c r="B45" s="34" t="n">
        <v>0.505963453331874</v>
      </c>
      <c r="C45" s="36" t="n">
        <v>2.39943771626298</v>
      </c>
      <c r="D45" s="15" t="n">
        <v>1842.22916522555</v>
      </c>
      <c r="E45" s="15" t="n">
        <v>2012.86566685193</v>
      </c>
    </row>
    <row r="46" customFormat="false" ht="15" hidden="false" customHeight="false" outlineLevel="0" collapsed="false">
      <c r="A46" s="7" t="s">
        <v>507</v>
      </c>
      <c r="B46" s="34" t="n">
        <v>0.483203851624904</v>
      </c>
      <c r="C46" s="36" t="n">
        <v>2.24433876811594</v>
      </c>
      <c r="D46" s="15" t="n">
        <v>1882.20380617753</v>
      </c>
      <c r="E46" s="15" t="n">
        <v>1837.0795197202</v>
      </c>
    </row>
    <row r="47" customFormat="false" ht="15" hidden="false" customHeight="false" outlineLevel="0" collapsed="false">
      <c r="A47" s="7" t="s">
        <v>508</v>
      </c>
      <c r="B47" s="34" t="n">
        <v>0.449830397198818</v>
      </c>
      <c r="C47" s="36" t="n">
        <v>1.7343711992216</v>
      </c>
      <c r="D47" s="15" t="n">
        <v>1942.59105532161</v>
      </c>
      <c r="E47" s="15" t="n">
        <v>1364.00118196726</v>
      </c>
    </row>
    <row r="48" customFormat="false" ht="15" hidden="false" customHeight="false" outlineLevel="0" collapsed="false">
      <c r="A48" s="2" t="s">
        <v>509</v>
      </c>
    </row>
    <row r="50" customFormat="false" ht="15" hidden="false" customHeight="false" outlineLevel="0" collapsed="false">
      <c r="A50" s="3" t="s">
        <v>510</v>
      </c>
      <c r="B50" s="4"/>
      <c r="C50" s="4"/>
      <c r="D50" s="4"/>
      <c r="E50" s="4"/>
    </row>
    <row r="51" customFormat="false" ht="23.85" hidden="false" customHeight="false" outlineLevel="0" collapsed="false">
      <c r="A51" s="6" t="s">
        <v>458</v>
      </c>
      <c r="B51" s="6" t="s">
        <v>491</v>
      </c>
      <c r="C51" s="6" t="s">
        <v>492</v>
      </c>
      <c r="D51" s="6" t="s">
        <v>493</v>
      </c>
      <c r="E51" s="6" t="s">
        <v>382</v>
      </c>
    </row>
    <row r="52" customFormat="false" ht="15" hidden="false" customHeight="false" outlineLevel="0" collapsed="false">
      <c r="A52" s="7" t="s">
        <v>511</v>
      </c>
      <c r="B52" s="34" t="n">
        <v>0.49141043877886</v>
      </c>
      <c r="C52" s="36" t="n">
        <v>2.28679581384992</v>
      </c>
      <c r="D52" s="15" t="n">
        <v>1854.20153734627</v>
      </c>
      <c r="E52" s="15" t="n">
        <v>1875.3019815835</v>
      </c>
    </row>
    <row r="53" customFormat="false" ht="15" hidden="false" customHeight="false" outlineLevel="0" collapsed="false">
      <c r="A53" s="7" t="s">
        <v>512</v>
      </c>
      <c r="B53" s="34" t="n">
        <v>0.486705328810592</v>
      </c>
      <c r="C53" s="36" t="n">
        <v>2.24775179856115</v>
      </c>
      <c r="D53" s="15" t="n">
        <v>1865.75330388021</v>
      </c>
      <c r="E53" s="15" t="n">
        <v>1837.00857631852</v>
      </c>
    </row>
    <row r="54" customFormat="false" ht="15" hidden="false" customHeight="false" outlineLevel="0" collapsed="false">
      <c r="A54" s="7" t="s">
        <v>513</v>
      </c>
      <c r="B54" s="34" t="n">
        <v>0.49141043877886</v>
      </c>
      <c r="C54" s="36" t="n">
        <v>2.22133155199288</v>
      </c>
      <c r="D54" s="15" t="n">
        <v>1885.81108995749</v>
      </c>
      <c r="E54" s="15" t="n">
        <v>1852.67165883295</v>
      </c>
    </row>
    <row r="55" customFormat="false" ht="15" hidden="false" customHeight="false" outlineLevel="0" collapsed="false">
      <c r="A55" s="7" t="s">
        <v>514</v>
      </c>
      <c r="B55" s="34" t="n">
        <v>0.475982054929423</v>
      </c>
      <c r="C55" s="36" t="n">
        <v>2.13540229885058</v>
      </c>
      <c r="D55" s="15" t="n">
        <v>1912.8885924152</v>
      </c>
      <c r="E55" s="15" t="n">
        <v>1749.85664968271</v>
      </c>
    </row>
    <row r="56" customFormat="false" ht="15" hidden="false" customHeight="false" outlineLevel="0" collapsed="false">
      <c r="A56" s="2" t="s">
        <v>515</v>
      </c>
    </row>
    <row r="58" customFormat="false" ht="15" hidden="false" customHeight="false" outlineLevel="0" collapsed="false">
      <c r="A58" s="3" t="s">
        <v>516</v>
      </c>
      <c r="B58" s="4"/>
      <c r="C58" s="4"/>
      <c r="D58" s="4"/>
      <c r="E58" s="4"/>
    </row>
    <row r="59" customFormat="false" ht="23.85" hidden="false" customHeight="false" outlineLevel="0" collapsed="false">
      <c r="A59" s="6" t="s">
        <v>458</v>
      </c>
      <c r="B59" s="6" t="s">
        <v>491</v>
      </c>
      <c r="C59" s="6" t="s">
        <v>492</v>
      </c>
      <c r="D59" s="6" t="s">
        <v>493</v>
      </c>
      <c r="E59" s="6" t="s">
        <v>382</v>
      </c>
    </row>
    <row r="60" customFormat="false" ht="15" hidden="false" customHeight="false" outlineLevel="0" collapsed="false">
      <c r="A60" s="7" t="s">
        <v>97</v>
      </c>
      <c r="B60" s="34" t="n">
        <v>0.490644490644491</v>
      </c>
      <c r="C60" s="36" t="n">
        <v>2.21297948260482</v>
      </c>
      <c r="D60" s="15" t="n">
        <v>1984.62501036849</v>
      </c>
      <c r="E60" s="15" t="n">
        <v>1939.39058760235</v>
      </c>
    </row>
    <row r="61" customFormat="false" ht="15" hidden="false" customHeight="false" outlineLevel="0" collapsed="false">
      <c r="A61" s="7" t="s">
        <v>517</v>
      </c>
      <c r="B61" s="34" t="n">
        <v>0.484845169055695</v>
      </c>
      <c r="C61" s="36" t="n">
        <v>2.22094335364478</v>
      </c>
      <c r="D61" s="15" t="n">
        <v>1943.81322471283</v>
      </c>
      <c r="E61" s="15" t="n">
        <v>1883.81216215769</v>
      </c>
    </row>
    <row r="62" customFormat="false" ht="15" hidden="false" customHeight="false" outlineLevel="0" collapsed="false">
      <c r="A62" s="7" t="s">
        <v>518</v>
      </c>
      <c r="B62" s="34" t="n">
        <v>0.482656745814641</v>
      </c>
      <c r="C62" s="36" t="n">
        <v>2.23441396508728</v>
      </c>
      <c r="D62" s="15" t="n">
        <v>1884.50638557606</v>
      </c>
      <c r="E62" s="15" t="n">
        <v>1829.11975518261</v>
      </c>
    </row>
    <row r="63" customFormat="false" ht="15" hidden="false" customHeight="false" outlineLevel="0" collapsed="false">
      <c r="A63" s="7" t="s">
        <v>519</v>
      </c>
      <c r="B63" s="34" t="n">
        <v>0.475653791443265</v>
      </c>
      <c r="C63" s="36" t="n">
        <v>2.24568668046929</v>
      </c>
      <c r="D63" s="15" t="n">
        <v>1757.19231134835</v>
      </c>
      <c r="E63" s="15" t="n">
        <v>1689.28112583919</v>
      </c>
    </row>
    <row r="64" customFormat="false" ht="15" hidden="false" customHeight="false" outlineLevel="0" collapsed="false">
      <c r="A64" s="2" t="s">
        <v>520</v>
      </c>
    </row>
    <row r="66" customFormat="false" ht="15" hidden="false" customHeight="false" outlineLevel="0" collapsed="false">
      <c r="A66" s="3" t="s">
        <v>521</v>
      </c>
      <c r="B66" s="4"/>
      <c r="C66" s="4"/>
      <c r="D66" s="4"/>
      <c r="E66" s="4"/>
    </row>
    <row r="67" customFormat="false" ht="23.85" hidden="false" customHeight="false" outlineLevel="0" collapsed="false">
      <c r="A67" s="6" t="s">
        <v>458</v>
      </c>
      <c r="B67" s="6" t="s">
        <v>491</v>
      </c>
      <c r="C67" s="6" t="s">
        <v>492</v>
      </c>
      <c r="D67" s="6" t="s">
        <v>493</v>
      </c>
      <c r="E67" s="6" t="s">
        <v>382</v>
      </c>
    </row>
    <row r="68" customFormat="false" ht="15" hidden="false" customHeight="false" outlineLevel="0" collapsed="false">
      <c r="A68" s="7" t="s">
        <v>522</v>
      </c>
      <c r="B68" s="34" t="n">
        <v>0.478717583980742</v>
      </c>
      <c r="C68" s="36" t="n">
        <v>2.10788571428571</v>
      </c>
      <c r="D68" s="15" t="n">
        <v>6577.46730538715</v>
      </c>
      <c r="E68" s="15" t="n">
        <v>5973.48321930761</v>
      </c>
    </row>
    <row r="69" customFormat="false" ht="15" hidden="false" customHeight="false" outlineLevel="0" collapsed="false">
      <c r="A69" s="7" t="s">
        <v>523</v>
      </c>
      <c r="B69" s="34" t="n">
        <v>0.49699091804355</v>
      </c>
      <c r="C69" s="36" t="n">
        <v>2.24988991633642</v>
      </c>
      <c r="D69" s="15" t="n">
        <v>977.3956661907</v>
      </c>
      <c r="E69" s="15" t="n">
        <v>983.609331603292</v>
      </c>
    </row>
    <row r="70" customFormat="false" ht="15" hidden="false" customHeight="false" outlineLevel="0" collapsed="false">
      <c r="A70" s="7" t="s">
        <v>524</v>
      </c>
      <c r="B70" s="34" t="n">
        <v>0.486048801838276</v>
      </c>
      <c r="C70" s="36" t="n">
        <v>2.21364250337686</v>
      </c>
      <c r="D70" s="15" t="n">
        <v>1881.66291540745</v>
      </c>
      <c r="E70" s="15" t="n">
        <v>1822.09785561673</v>
      </c>
    </row>
    <row r="71" customFormat="false" ht="15" hidden="false" customHeight="false" outlineLevel="0" collapsed="false">
      <c r="A71" s="7" t="s">
        <v>525</v>
      </c>
      <c r="B71" s="34" t="n">
        <v>0.492285808075282</v>
      </c>
      <c r="C71" s="36" t="n">
        <v>2.16781507001556</v>
      </c>
      <c r="D71" s="15" t="n">
        <v>3909.16243295682</v>
      </c>
      <c r="E71" s="15" t="n">
        <v>3754.6181297478</v>
      </c>
    </row>
    <row r="72" customFormat="false" ht="15" hidden="false" customHeight="false" outlineLevel="0" collapsed="false">
      <c r="A72" s="2" t="s">
        <v>526</v>
      </c>
    </row>
    <row r="74" customFormat="false" ht="15" hidden="false" customHeight="false" outlineLevel="0" collapsed="false">
      <c r="A74" s="3" t="s">
        <v>527</v>
      </c>
      <c r="B74" s="4"/>
      <c r="C74" s="4"/>
      <c r="D74" s="4"/>
      <c r="E74" s="4"/>
    </row>
    <row r="75" customFormat="false" ht="23.85" hidden="false" customHeight="false" outlineLevel="0" collapsed="false">
      <c r="A75" s="6" t="s">
        <v>458</v>
      </c>
      <c r="B75" s="6" t="s">
        <v>491</v>
      </c>
      <c r="C75" s="6" t="s">
        <v>492</v>
      </c>
      <c r="D75" s="6" t="s">
        <v>493</v>
      </c>
      <c r="E75" s="6" t="s">
        <v>382</v>
      </c>
    </row>
    <row r="76" customFormat="false" ht="15" hidden="false" customHeight="false" outlineLevel="0" collapsed="false">
      <c r="A76" s="7" t="s">
        <v>528</v>
      </c>
      <c r="B76" s="34" t="n">
        <v>0.488784330889594</v>
      </c>
      <c r="C76" s="36" t="n">
        <v>2.23349003805686</v>
      </c>
      <c r="D76" s="15" t="n">
        <v>1879.45405023128</v>
      </c>
      <c r="E76" s="15" t="n">
        <v>2051.79046494775</v>
      </c>
    </row>
    <row r="77" customFormat="false" ht="15" hidden="false" customHeight="false" outlineLevel="0" collapsed="false">
      <c r="A77" s="7" t="s">
        <v>130</v>
      </c>
      <c r="B77" s="34" t="n">
        <v>0.486705328810592</v>
      </c>
      <c r="C77" s="36" t="n">
        <v>2.22392086330935</v>
      </c>
      <c r="D77" s="15" t="n">
        <v>1885.15048779602</v>
      </c>
      <c r="E77" s="15" t="n">
        <v>1836.42824846815</v>
      </c>
    </row>
    <row r="78" customFormat="false" ht="15" hidden="false" customHeight="false" outlineLevel="0" collapsed="false">
      <c r="A78" s="7" t="s">
        <v>140</v>
      </c>
      <c r="B78" s="34" t="n">
        <v>0.485939380676223</v>
      </c>
      <c r="C78" s="36" t="n">
        <v>2.23373114163477</v>
      </c>
      <c r="D78" s="15" t="n">
        <v>1879.53865987763</v>
      </c>
      <c r="E78" s="15" t="n">
        <v>1632.12811082053</v>
      </c>
    </row>
    <row r="79" customFormat="false" ht="15" hidden="false" customHeight="false" outlineLevel="0" collapsed="false">
      <c r="A79" s="2" t="s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7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530</v>
      </c>
    </row>
    <row r="2" customFormat="false" ht="15" hidden="false" customHeight="false" outlineLevel="0" collapsed="false">
      <c r="A2" s="2" t="s">
        <v>531</v>
      </c>
    </row>
    <row r="4" customFormat="false" ht="15" hidden="false" customHeight="false" outlineLevel="0" collapsed="false">
      <c r="A4" s="37" t="s">
        <v>532</v>
      </c>
      <c r="B4" s="38"/>
      <c r="C4" s="38"/>
    </row>
    <row r="5" customFormat="false" ht="15" hidden="false" customHeight="false" outlineLevel="0" collapsed="false">
      <c r="A5" s="6" t="s">
        <v>533</v>
      </c>
      <c r="B5" s="6" t="s">
        <v>534</v>
      </c>
      <c r="C5" s="6" t="s">
        <v>535</v>
      </c>
    </row>
    <row r="6" customFormat="false" ht="15" hidden="false" customHeight="false" outlineLevel="0" collapsed="false">
      <c r="A6" s="25" t="s">
        <v>536</v>
      </c>
      <c r="B6" s="26"/>
      <c r="C6" s="26"/>
    </row>
    <row r="7" customFormat="false" ht="15" hidden="false" customHeight="false" outlineLevel="0" collapsed="false">
      <c r="A7" s="7" t="s">
        <v>537</v>
      </c>
      <c r="B7" s="14" t="s">
        <v>538</v>
      </c>
      <c r="C7" s="9" t="s">
        <v>539</v>
      </c>
    </row>
    <row r="8" customFormat="false" ht="15" hidden="false" customHeight="false" outlineLevel="0" collapsed="false">
      <c r="A8" s="7" t="s">
        <v>540</v>
      </c>
      <c r="B8" s="14" t="s">
        <v>541</v>
      </c>
      <c r="C8" s="9" t="s">
        <v>542</v>
      </c>
    </row>
    <row r="9" customFormat="false" ht="15" hidden="false" customHeight="false" outlineLevel="0" collapsed="false">
      <c r="A9" s="25" t="s">
        <v>543</v>
      </c>
      <c r="B9" s="26"/>
      <c r="C9" s="26"/>
    </row>
    <row r="10" customFormat="false" ht="15" hidden="false" customHeight="false" outlineLevel="0" collapsed="false">
      <c r="A10" s="7" t="s">
        <v>544</v>
      </c>
      <c r="B10" s="14" t="s">
        <v>545</v>
      </c>
      <c r="C10" s="9" t="s">
        <v>546</v>
      </c>
    </row>
    <row r="11" customFormat="false" ht="23.85" hidden="false" customHeight="false" outlineLevel="0" collapsed="false">
      <c r="A11" s="7" t="s">
        <v>547</v>
      </c>
      <c r="B11" s="14" t="s">
        <v>548</v>
      </c>
      <c r="C11" s="9" t="s">
        <v>549</v>
      </c>
    </row>
    <row r="12" customFormat="false" ht="23.85" hidden="false" customHeight="false" outlineLevel="0" collapsed="false">
      <c r="A12" s="7" t="s">
        <v>550</v>
      </c>
      <c r="B12" s="14" t="s">
        <v>551</v>
      </c>
      <c r="C12" s="9" t="s">
        <v>552</v>
      </c>
    </row>
    <row r="13" customFormat="false" ht="23.85" hidden="false" customHeight="false" outlineLevel="0" collapsed="false">
      <c r="A13" s="7" t="s">
        <v>553</v>
      </c>
      <c r="B13" s="14" t="s">
        <v>554</v>
      </c>
      <c r="C13" s="9" t="s">
        <v>555</v>
      </c>
    </row>
    <row r="14" customFormat="false" ht="15" hidden="false" customHeight="false" outlineLevel="0" collapsed="false">
      <c r="A14" s="7" t="s">
        <v>556</v>
      </c>
      <c r="B14" s="14" t="s">
        <v>557</v>
      </c>
      <c r="C14" s="9" t="s">
        <v>558</v>
      </c>
    </row>
    <row r="15" customFormat="false" ht="23.85" hidden="false" customHeight="false" outlineLevel="0" collapsed="false">
      <c r="A15" s="7" t="s">
        <v>559</v>
      </c>
      <c r="B15" s="14" t="s">
        <v>560</v>
      </c>
      <c r="C15" s="9" t="s">
        <v>561</v>
      </c>
    </row>
    <row r="16" customFormat="false" ht="23.85" hidden="false" customHeight="false" outlineLevel="0" collapsed="false">
      <c r="A16" s="7" t="s">
        <v>562</v>
      </c>
      <c r="B16" s="14" t="s">
        <v>563</v>
      </c>
      <c r="C16" s="9" t="s">
        <v>564</v>
      </c>
    </row>
    <row r="17" customFormat="false" ht="23.85" hidden="false" customHeight="false" outlineLevel="0" collapsed="false">
      <c r="A17" s="7" t="s">
        <v>565</v>
      </c>
      <c r="B17" s="14" t="s">
        <v>566</v>
      </c>
      <c r="C17" s="9" t="s">
        <v>567</v>
      </c>
    </row>
    <row r="18" customFormat="false" ht="15" hidden="false" customHeight="false" outlineLevel="0" collapsed="false">
      <c r="A18" s="7" t="s">
        <v>568</v>
      </c>
      <c r="B18" s="14" t="s">
        <v>569</v>
      </c>
      <c r="C18" s="9" t="s">
        <v>570</v>
      </c>
    </row>
    <row r="19" customFormat="false" ht="15" hidden="false" customHeight="false" outlineLevel="0" collapsed="false">
      <c r="A19" s="7" t="s">
        <v>571</v>
      </c>
      <c r="B19" s="14" t="s">
        <v>572</v>
      </c>
      <c r="C19" s="9" t="s">
        <v>573</v>
      </c>
    </row>
    <row r="20" customFormat="false" ht="15" hidden="false" customHeight="false" outlineLevel="0" collapsed="false">
      <c r="A20" s="25" t="s">
        <v>574</v>
      </c>
      <c r="B20" s="26"/>
      <c r="C20" s="26"/>
    </row>
    <row r="21" customFormat="false" ht="15" hidden="false" customHeight="false" outlineLevel="0" collapsed="false">
      <c r="A21" s="7" t="s">
        <v>575</v>
      </c>
      <c r="B21" s="14" t="s">
        <v>576</v>
      </c>
      <c r="C21" s="9" t="s">
        <v>577</v>
      </c>
    </row>
    <row r="22" customFormat="false" ht="15" hidden="false" customHeight="false" outlineLevel="0" collapsed="false">
      <c r="A22" s="7" t="s">
        <v>578</v>
      </c>
      <c r="B22" s="14" t="s">
        <v>579</v>
      </c>
      <c r="C22" s="9" t="s">
        <v>580</v>
      </c>
    </row>
    <row r="23" customFormat="false" ht="15" hidden="false" customHeight="false" outlineLevel="0" collapsed="false">
      <c r="A23" s="7" t="s">
        <v>581</v>
      </c>
      <c r="B23" s="14" t="s">
        <v>582</v>
      </c>
      <c r="C23" s="9" t="s">
        <v>583</v>
      </c>
    </row>
    <row r="24" customFormat="false" ht="15" hidden="false" customHeight="false" outlineLevel="0" collapsed="false">
      <c r="A24" s="7" t="s">
        <v>584</v>
      </c>
      <c r="B24" s="14" t="s">
        <v>585</v>
      </c>
      <c r="C24" s="9" t="s">
        <v>586</v>
      </c>
    </row>
    <row r="25" customFormat="false" ht="15" hidden="false" customHeight="false" outlineLevel="0" collapsed="false">
      <c r="A25" s="7" t="s">
        <v>587</v>
      </c>
      <c r="B25" s="14" t="s">
        <v>588</v>
      </c>
      <c r="C25" s="9" t="s">
        <v>589</v>
      </c>
    </row>
    <row r="26" customFormat="false" ht="23.85" hidden="false" customHeight="false" outlineLevel="0" collapsed="false">
      <c r="A26" s="7" t="s">
        <v>590</v>
      </c>
      <c r="B26" s="14" t="s">
        <v>591</v>
      </c>
      <c r="C26" s="9" t="s">
        <v>592</v>
      </c>
    </row>
    <row r="27" customFormat="false" ht="15" hidden="false" customHeight="false" outlineLevel="0" collapsed="false">
      <c r="A27" s="7" t="s">
        <v>593</v>
      </c>
      <c r="B27" s="14" t="s">
        <v>594</v>
      </c>
      <c r="C27" s="9" t="s">
        <v>595</v>
      </c>
    </row>
    <row r="28" customFormat="false" ht="15" hidden="false" customHeight="false" outlineLevel="0" collapsed="false">
      <c r="A28" s="7" t="s">
        <v>596</v>
      </c>
      <c r="B28" s="14" t="s">
        <v>597</v>
      </c>
      <c r="C28" s="9" t="s">
        <v>598</v>
      </c>
    </row>
    <row r="29" customFormat="false" ht="15" hidden="false" customHeight="false" outlineLevel="0" collapsed="false">
      <c r="A29" s="7" t="s">
        <v>599</v>
      </c>
      <c r="B29" s="14" t="s">
        <v>600</v>
      </c>
      <c r="C29" s="9" t="s">
        <v>601</v>
      </c>
    </row>
    <row r="30" customFormat="false" ht="15" hidden="false" customHeight="false" outlineLevel="0" collapsed="false">
      <c r="A30" s="25" t="s">
        <v>602</v>
      </c>
      <c r="B30" s="26"/>
      <c r="C30" s="26"/>
    </row>
    <row r="31" customFormat="false" ht="15" hidden="false" customHeight="false" outlineLevel="0" collapsed="false">
      <c r="A31" s="7" t="s">
        <v>603</v>
      </c>
      <c r="B31" s="14" t="s">
        <v>604</v>
      </c>
      <c r="C31" s="9" t="s">
        <v>605</v>
      </c>
    </row>
    <row r="32" customFormat="false" ht="15" hidden="false" customHeight="false" outlineLevel="0" collapsed="false">
      <c r="A32" s="7" t="s">
        <v>606</v>
      </c>
      <c r="B32" s="14" t="s">
        <v>607</v>
      </c>
      <c r="C32" s="9" t="s">
        <v>608</v>
      </c>
    </row>
    <row r="33" customFormat="false" ht="15" hidden="false" customHeight="false" outlineLevel="0" collapsed="false">
      <c r="A33" s="7" t="s">
        <v>609</v>
      </c>
      <c r="B33" s="14" t="s">
        <v>610</v>
      </c>
      <c r="C33" s="9" t="s">
        <v>611</v>
      </c>
    </row>
    <row r="34" customFormat="false" ht="15" hidden="false" customHeight="false" outlineLevel="0" collapsed="false">
      <c r="A34" s="7" t="s">
        <v>612</v>
      </c>
      <c r="B34" s="14" t="s">
        <v>613</v>
      </c>
      <c r="C34" s="9" t="s">
        <v>614</v>
      </c>
    </row>
    <row r="35" customFormat="false" ht="15" hidden="false" customHeight="false" outlineLevel="0" collapsed="false">
      <c r="A35" s="7" t="s">
        <v>615</v>
      </c>
      <c r="B35" s="14" t="s">
        <v>616</v>
      </c>
      <c r="C35" s="9" t="s">
        <v>617</v>
      </c>
    </row>
    <row r="36" customFormat="false" ht="15" hidden="false" customHeight="false" outlineLevel="0" collapsed="false">
      <c r="A36" s="7" t="s">
        <v>618</v>
      </c>
      <c r="B36" s="14" t="s">
        <v>619</v>
      </c>
      <c r="C36" s="9" t="s">
        <v>620</v>
      </c>
    </row>
    <row r="37" customFormat="false" ht="15" hidden="false" customHeight="false" outlineLevel="0" collapsed="false">
      <c r="A37" s="25" t="s">
        <v>621</v>
      </c>
      <c r="B37" s="26"/>
      <c r="C37" s="26"/>
    </row>
    <row r="38" customFormat="false" ht="15" hidden="false" customHeight="false" outlineLevel="0" collapsed="false">
      <c r="A38" s="7" t="s">
        <v>622</v>
      </c>
      <c r="B38" s="14" t="s">
        <v>623</v>
      </c>
      <c r="C38" s="9" t="s">
        <v>624</v>
      </c>
    </row>
    <row r="39" customFormat="false" ht="15" hidden="false" customHeight="false" outlineLevel="0" collapsed="false">
      <c r="A39" s="7" t="s">
        <v>625</v>
      </c>
      <c r="B39" s="14" t="s">
        <v>626</v>
      </c>
      <c r="C39" s="9" t="s">
        <v>627</v>
      </c>
    </row>
    <row r="40" customFormat="false" ht="15" hidden="false" customHeight="false" outlineLevel="0" collapsed="false">
      <c r="A40" s="25" t="s">
        <v>628</v>
      </c>
      <c r="B40" s="26"/>
      <c r="C40" s="26"/>
    </row>
    <row r="41" customFormat="false" ht="15" hidden="false" customHeight="false" outlineLevel="0" collapsed="false">
      <c r="A41" s="7" t="s">
        <v>629</v>
      </c>
      <c r="B41" s="14" t="s">
        <v>630</v>
      </c>
      <c r="C41" s="9" t="s">
        <v>631</v>
      </c>
    </row>
    <row r="42" customFormat="false" ht="15" hidden="false" customHeight="false" outlineLevel="0" collapsed="false">
      <c r="A42" s="7" t="s">
        <v>632</v>
      </c>
      <c r="B42" s="14" t="s">
        <v>633</v>
      </c>
      <c r="C42" s="9" t="s">
        <v>634</v>
      </c>
    </row>
    <row r="43" customFormat="false" ht="15" hidden="false" customHeight="false" outlineLevel="0" collapsed="false">
      <c r="A43" s="7" t="s">
        <v>635</v>
      </c>
      <c r="B43" s="14" t="s">
        <v>636</v>
      </c>
      <c r="C43" s="9" t="s">
        <v>637</v>
      </c>
    </row>
    <row r="44" customFormat="false" ht="23.85" hidden="false" customHeight="false" outlineLevel="0" collapsed="false">
      <c r="A44" s="7" t="s">
        <v>638</v>
      </c>
      <c r="B44" s="14" t="s">
        <v>639</v>
      </c>
      <c r="C44" s="9" t="s">
        <v>640</v>
      </c>
    </row>
    <row r="46" customFormat="false" ht="15" hidden="false" customHeight="false" outlineLevel="0" collapsed="false">
      <c r="A46" s="37" t="s">
        <v>641</v>
      </c>
      <c r="B46" s="38"/>
      <c r="C46" s="38"/>
    </row>
    <row r="47" customFormat="false" ht="15" hidden="false" customHeight="false" outlineLevel="0" collapsed="false">
      <c r="A47" s="3" t="s">
        <v>642</v>
      </c>
      <c r="B47" s="4"/>
      <c r="C47" s="4"/>
    </row>
    <row r="48" customFormat="false" ht="15" hidden="false" customHeight="false" outlineLevel="0" collapsed="false">
      <c r="A48" s="7" t="s">
        <v>643</v>
      </c>
      <c r="B48" s="24" t="n">
        <v>5000</v>
      </c>
      <c r="C48" s="2" t="s">
        <v>644</v>
      </c>
    </row>
    <row r="49" customFormat="false" ht="15" hidden="false" customHeight="false" outlineLevel="0" collapsed="false">
      <c r="A49" s="3" t="s">
        <v>645</v>
      </c>
      <c r="B49" s="4"/>
      <c r="C49" s="4"/>
    </row>
    <row r="50" customFormat="false" ht="15" hidden="false" customHeight="false" outlineLevel="0" collapsed="false">
      <c r="A50" s="7" t="s">
        <v>646</v>
      </c>
      <c r="B50" s="24" t="n">
        <v>30</v>
      </c>
      <c r="C50" s="2" t="s">
        <v>647</v>
      </c>
    </row>
    <row r="51" customFormat="false" ht="15" hidden="false" customHeight="false" outlineLevel="0" collapsed="false">
      <c r="A51" s="7" t="s">
        <v>648</v>
      </c>
      <c r="B51" s="24" t="n">
        <v>10</v>
      </c>
      <c r="C51" s="2" t="s">
        <v>649</v>
      </c>
    </row>
    <row r="52" customFormat="false" ht="15" hidden="false" customHeight="false" outlineLevel="0" collapsed="false">
      <c r="A52" s="7" t="s">
        <v>650</v>
      </c>
      <c r="B52" s="24" t="n">
        <v>0</v>
      </c>
      <c r="C52" s="2" t="s">
        <v>651</v>
      </c>
    </row>
    <row r="53" customFormat="false" ht="15" hidden="false" customHeight="false" outlineLevel="0" collapsed="false">
      <c r="A53" s="32" t="s">
        <v>652</v>
      </c>
      <c r="B53" s="30" t="n">
        <f aca="false">B50+B51+B52</f>
        <v>40</v>
      </c>
    </row>
    <row r="54" customFormat="false" ht="15" hidden="false" customHeight="false" outlineLevel="0" collapsed="false">
      <c r="A54" s="7" t="s">
        <v>653</v>
      </c>
      <c r="B54" s="23" t="n">
        <v>0.55</v>
      </c>
      <c r="C54" s="2" t="s">
        <v>654</v>
      </c>
    </row>
    <row r="55" customFormat="false" ht="15" hidden="false" customHeight="false" outlineLevel="0" collapsed="false">
      <c r="A55" s="32" t="s">
        <v>655</v>
      </c>
      <c r="B55" s="30" t="n">
        <f aca="false">B53*B54</f>
        <v>22</v>
      </c>
    </row>
    <row r="56" customFormat="false" ht="15" hidden="false" customHeight="false" outlineLevel="0" collapsed="false">
      <c r="A56" s="7" t="s">
        <v>656</v>
      </c>
      <c r="B56" s="39" t="n">
        <v>1.7</v>
      </c>
      <c r="C56" s="2" t="s">
        <v>657</v>
      </c>
    </row>
    <row r="57" customFormat="false" ht="15" hidden="false" customHeight="false" outlineLevel="0" collapsed="false">
      <c r="A57" s="32" t="s">
        <v>658</v>
      </c>
      <c r="B57" s="30" t="n">
        <f aca="false">B55*B56</f>
        <v>37.4</v>
      </c>
    </row>
    <row r="59" customFormat="false" ht="15" hidden="false" customHeight="false" outlineLevel="0" collapsed="false">
      <c r="A59" s="2" t="s">
        <v>659</v>
      </c>
    </row>
    <row r="60" customFormat="false" ht="15" hidden="false" customHeight="false" outlineLevel="0" collapsed="false">
      <c r="A60" s="2" t="s">
        <v>660</v>
      </c>
    </row>
    <row r="61" customFormat="false" ht="15" hidden="false" customHeight="false" outlineLevel="0" collapsed="false">
      <c r="A61" s="2" t="s">
        <v>661</v>
      </c>
    </row>
    <row r="62" customFormat="false" ht="15" hidden="false" customHeight="false" outlineLevel="0" collapsed="false">
      <c r="A62" s="2" t="s">
        <v>662</v>
      </c>
    </row>
    <row r="63" customFormat="false" ht="15" hidden="false" customHeight="false" outlineLevel="0" collapsed="false">
      <c r="A63" s="2" t="s">
        <v>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44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664</v>
      </c>
    </row>
    <row r="2" customFormat="false" ht="15" hidden="false" customHeight="false" outlineLevel="0" collapsed="false">
      <c r="A2" s="2" t="s">
        <v>665</v>
      </c>
    </row>
    <row r="4" customFormat="false" ht="15" hidden="false" customHeight="false" outlineLevel="0" collapsed="false">
      <c r="A4" s="37" t="s">
        <v>666</v>
      </c>
      <c r="B4" s="38"/>
      <c r="D4" s="37" t="s">
        <v>667</v>
      </c>
      <c r="E4" s="38"/>
    </row>
    <row r="5" customFormat="false" ht="15" hidden="false" customHeight="false" outlineLevel="0" collapsed="false">
      <c r="A5" s="7" t="s">
        <v>668</v>
      </c>
      <c r="B5" s="40" t="n">
        <v>500</v>
      </c>
      <c r="D5" s="7" t="s">
        <v>669</v>
      </c>
      <c r="E5" s="41" t="n">
        <f aca="false">B6*(1+B7+B8)*(1-B11-B14)-B9*B10-B13</f>
        <v>133.15</v>
      </c>
    </row>
    <row r="6" customFormat="false" ht="15" hidden="false" customHeight="false" outlineLevel="0" collapsed="false">
      <c r="A6" s="7" t="s">
        <v>670</v>
      </c>
      <c r="B6" s="24" t="n">
        <v>475</v>
      </c>
      <c r="D6" s="7" t="s">
        <v>671</v>
      </c>
      <c r="E6" s="36" t="n">
        <f aca="false">IF(E5&lt;=0,"never (fix rules/pricing)",B12/E5)</f>
        <v>90.123920390537</v>
      </c>
    </row>
    <row r="7" customFormat="false" ht="15" hidden="false" customHeight="false" outlineLevel="0" collapsed="false">
      <c r="A7" s="7" t="s">
        <v>672</v>
      </c>
      <c r="B7" s="8" t="n">
        <v>0.3</v>
      </c>
    </row>
    <row r="8" customFormat="false" ht="15" hidden="false" customHeight="false" outlineLevel="0" collapsed="false">
      <c r="A8" s="7" t="s">
        <v>673</v>
      </c>
      <c r="B8" s="8" t="n">
        <v>0.2</v>
      </c>
      <c r="D8" s="7" t="s">
        <v>674</v>
      </c>
      <c r="E8" s="15" t="n">
        <f aca="false">B23</f>
        <v>107100</v>
      </c>
    </row>
    <row r="9" customFormat="false" ht="15" hidden="false" customHeight="false" outlineLevel="0" collapsed="false">
      <c r="A9" s="7" t="s">
        <v>675</v>
      </c>
      <c r="B9" s="23" t="n">
        <v>0.153</v>
      </c>
      <c r="D9" s="25" t="s">
        <v>676</v>
      </c>
      <c r="E9" s="30" t="n">
        <f aca="false">B23*3</f>
        <v>321300</v>
      </c>
    </row>
    <row r="10" customFormat="false" ht="15" hidden="false" customHeight="false" outlineLevel="0" collapsed="false">
      <c r="A10" s="7" t="s">
        <v>677</v>
      </c>
      <c r="B10" s="24" t="n">
        <v>1400</v>
      </c>
    </row>
    <row r="11" customFormat="false" ht="15" hidden="false" customHeight="false" outlineLevel="0" collapsed="false">
      <c r="A11" s="7" t="s">
        <v>678</v>
      </c>
      <c r="B11" s="8" t="n">
        <v>0.4</v>
      </c>
      <c r="D11" s="3" t="s">
        <v>679</v>
      </c>
      <c r="E11" s="4"/>
    </row>
    <row r="12" customFormat="false" ht="15" hidden="false" customHeight="false" outlineLevel="0" collapsed="false">
      <c r="A12" s="7" t="s">
        <v>680</v>
      </c>
      <c r="B12" s="24" t="n">
        <v>12000</v>
      </c>
      <c r="D12" s="7" t="s">
        <v>681</v>
      </c>
      <c r="E12" s="40" t="n">
        <v>300</v>
      </c>
    </row>
    <row r="13" customFormat="false" ht="15" hidden="false" customHeight="false" outlineLevel="0" collapsed="false">
      <c r="A13" s="7" t="s">
        <v>682</v>
      </c>
      <c r="B13" s="42" t="n">
        <f aca="false">'Platform &amp; Data Costs'!$B$57</f>
        <v>37.4</v>
      </c>
      <c r="D13" s="7" t="s">
        <v>683</v>
      </c>
      <c r="E13" s="23" t="n">
        <v>0.1</v>
      </c>
    </row>
    <row r="14" customFormat="false" ht="15" hidden="false" customHeight="false" outlineLevel="0" collapsed="false">
      <c r="A14" s="7" t="s">
        <v>684</v>
      </c>
      <c r="B14" s="8" t="n">
        <v>0.06</v>
      </c>
      <c r="D14" s="7" t="s">
        <v>685</v>
      </c>
      <c r="E14" s="24" t="n">
        <v>3000</v>
      </c>
    </row>
    <row r="15" customFormat="false" ht="15" hidden="false" customHeight="false" outlineLevel="0" collapsed="false">
      <c r="A15" s="7" t="s">
        <v>686</v>
      </c>
      <c r="B15" s="40" t="n">
        <v>5</v>
      </c>
      <c r="D15" s="25" t="s">
        <v>687</v>
      </c>
      <c r="E15" s="30" t="n">
        <f aca="false">E12*E13*E14*B15</f>
        <v>450000</v>
      </c>
    </row>
    <row r="17" customFormat="false" ht="15" hidden="false" customHeight="false" outlineLevel="0" collapsed="false">
      <c r="A17" s="37" t="s">
        <v>688</v>
      </c>
      <c r="B17" s="38"/>
      <c r="D17" s="25" t="s">
        <v>689</v>
      </c>
      <c r="E17" s="30" t="n">
        <f aca="false">MAX(E9,E15)</f>
        <v>450000</v>
      </c>
    </row>
    <row r="18" customFormat="false" ht="15" hidden="false" customHeight="false" outlineLevel="0" collapsed="false">
      <c r="A18" s="7" t="s">
        <v>690</v>
      </c>
      <c r="B18" s="15" t="n">
        <f aca="false">B5*B6</f>
        <v>237500</v>
      </c>
    </row>
    <row r="19" customFormat="false" ht="15" hidden="false" customHeight="false" outlineLevel="0" collapsed="false">
      <c r="A19" s="7" t="s">
        <v>691</v>
      </c>
      <c r="B19" s="15" t="n">
        <f aca="false">B18*B7</f>
        <v>71250</v>
      </c>
    </row>
    <row r="20" customFormat="false" ht="15" hidden="false" customHeight="false" outlineLevel="0" collapsed="false">
      <c r="A20" s="7" t="s">
        <v>692</v>
      </c>
      <c r="B20" s="15" t="n">
        <f aca="false">B18*B8</f>
        <v>47500</v>
      </c>
    </row>
    <row r="21" customFormat="false" ht="15" hidden="false" customHeight="false" outlineLevel="0" collapsed="false">
      <c r="A21" s="25" t="s">
        <v>693</v>
      </c>
      <c r="B21" s="30" t="n">
        <f aca="false">B18+B19+B20</f>
        <v>356250</v>
      </c>
    </row>
    <row r="22" customFormat="false" ht="15" hidden="false" customHeight="false" outlineLevel="0" collapsed="false">
      <c r="A22" s="7" t="s">
        <v>694</v>
      </c>
      <c r="B22" s="36" t="n">
        <f aca="false">B5*B9</f>
        <v>76.5</v>
      </c>
    </row>
    <row r="23" customFormat="false" ht="15" hidden="false" customHeight="false" outlineLevel="0" collapsed="false">
      <c r="A23" s="7" t="s">
        <v>695</v>
      </c>
      <c r="B23" s="15" t="n">
        <f aca="false">B22*B10</f>
        <v>107100</v>
      </c>
    </row>
    <row r="24" customFormat="false" ht="15" hidden="false" customHeight="false" outlineLevel="0" collapsed="false">
      <c r="A24" s="7" t="s">
        <v>696</v>
      </c>
      <c r="B24" s="15" t="n">
        <f aca="false">B21*B11</f>
        <v>142500</v>
      </c>
    </row>
    <row r="25" customFormat="false" ht="15" hidden="false" customHeight="false" outlineLevel="0" collapsed="false">
      <c r="A25" s="7" t="s">
        <v>697</v>
      </c>
      <c r="B25" s="15" t="n">
        <f aca="false">B21*B14</f>
        <v>21375</v>
      </c>
    </row>
    <row r="26" customFormat="false" ht="15" hidden="false" customHeight="false" outlineLevel="0" collapsed="false">
      <c r="A26" s="7" t="s">
        <v>698</v>
      </c>
      <c r="B26" s="15" t="n">
        <f aca="false">B5*B13</f>
        <v>18700</v>
      </c>
    </row>
    <row r="27" customFormat="false" ht="15" hidden="false" customHeight="false" outlineLevel="0" collapsed="false">
      <c r="A27" s="7" t="s">
        <v>699</v>
      </c>
      <c r="B27" s="15" t="n">
        <f aca="false">B12</f>
        <v>12000</v>
      </c>
    </row>
    <row r="28" customFormat="false" ht="15" hidden="false" customHeight="false" outlineLevel="0" collapsed="false">
      <c r="A28" s="25" t="s">
        <v>700</v>
      </c>
      <c r="B28" s="30" t="n">
        <f aca="false">B23+B24+B25+B26+B27</f>
        <v>301675</v>
      </c>
    </row>
    <row r="29" customFormat="false" ht="15" hidden="false" customHeight="false" outlineLevel="0" collapsed="false">
      <c r="A29" s="25" t="s">
        <v>701</v>
      </c>
      <c r="B29" s="30" t="n">
        <f aca="false">B21-B28</f>
        <v>54575</v>
      </c>
    </row>
    <row r="30" customFormat="false" ht="15" hidden="false" customHeight="false" outlineLevel="0" collapsed="false">
      <c r="A30" s="25" t="s">
        <v>702</v>
      </c>
      <c r="B30" s="31" t="n">
        <f aca="false">IF(B21=0,0,B29/B21)</f>
        <v>0.15319298245614</v>
      </c>
    </row>
    <row r="31" customFormat="false" ht="15" hidden="false" customHeight="false" outlineLevel="0" collapsed="false">
      <c r="A31" s="25" t="s">
        <v>703</v>
      </c>
      <c r="B31" s="30" t="n">
        <f aca="false">B29*12</f>
        <v>654900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5"/>
    <col collapsed="false" customWidth="true" hidden="false" outlineLevel="0" max="3" min="3" style="0" width="4"/>
    <col collapsed="false" customWidth="true" hidden="false" outlineLevel="0" max="4" min="4" style="0" width="16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" t="s">
        <v>704</v>
      </c>
    </row>
    <row r="2" customFormat="false" ht="15" hidden="false" customHeight="false" outlineLevel="0" collapsed="false">
      <c r="A2" s="2" t="s">
        <v>705</v>
      </c>
    </row>
    <row r="4" customFormat="false" ht="15" hidden="false" customHeight="false" outlineLevel="0" collapsed="false">
      <c r="A4" s="37" t="s">
        <v>706</v>
      </c>
      <c r="B4" s="38"/>
      <c r="D4" s="37" t="s">
        <v>707</v>
      </c>
      <c r="E4" s="38"/>
    </row>
    <row r="5" customFormat="false" ht="15" hidden="false" customHeight="false" outlineLevel="0" collapsed="false">
      <c r="A5" s="7" t="s">
        <v>708</v>
      </c>
      <c r="B5" s="23" t="n">
        <v>0.1</v>
      </c>
      <c r="D5" s="7" t="s">
        <v>709</v>
      </c>
      <c r="E5" s="34" t="n">
        <f aca="false">IF(B17=0,0,B18/B17)</f>
        <v>0.300631578947368</v>
      </c>
    </row>
    <row r="6" customFormat="false" ht="15" hidden="false" customHeight="false" outlineLevel="0" collapsed="false">
      <c r="A6" s="7" t="s">
        <v>710</v>
      </c>
      <c r="B6" s="23" t="n">
        <v>0.15</v>
      </c>
      <c r="D6" s="7" t="s">
        <v>711</v>
      </c>
      <c r="E6" s="34" t="n">
        <f aca="false">IF(B17=0,0,B19/B17)</f>
        <v>0.1</v>
      </c>
    </row>
    <row r="7" customFormat="false" ht="15" hidden="false" customHeight="false" outlineLevel="0" collapsed="false">
      <c r="A7" s="7" t="s">
        <v>712</v>
      </c>
      <c r="B7" s="23" t="n">
        <v>0.05</v>
      </c>
      <c r="D7" s="7" t="s">
        <v>713</v>
      </c>
      <c r="E7" s="34" t="n">
        <f aca="false">IF(B17=0,0,B20/B17)</f>
        <v>0.15</v>
      </c>
    </row>
    <row r="8" customFormat="false" ht="15" hidden="false" customHeight="false" outlineLevel="0" collapsed="false">
      <c r="A8" s="7" t="s">
        <v>714</v>
      </c>
      <c r="B8" s="23" t="n">
        <v>0.06</v>
      </c>
      <c r="D8" s="7" t="s">
        <v>715</v>
      </c>
      <c r="E8" s="34" t="n">
        <f aca="false">IF(B17=0,0,B21/B17)</f>
        <v>0.05</v>
      </c>
    </row>
    <row r="9" customFormat="false" ht="15" hidden="false" customHeight="false" outlineLevel="0" collapsed="false">
      <c r="A9" s="7" t="s">
        <v>716</v>
      </c>
      <c r="B9" s="23" t="n">
        <v>0.02</v>
      </c>
      <c r="D9" s="7" t="s">
        <v>697</v>
      </c>
      <c r="E9" s="34" t="n">
        <f aca="false">IF(B17=0,0,B22/B17)</f>
        <v>0.06</v>
      </c>
    </row>
    <row r="10" customFormat="false" ht="15" hidden="false" customHeight="false" outlineLevel="0" collapsed="false">
      <c r="A10" s="7" t="s">
        <v>717</v>
      </c>
      <c r="B10" s="29" t="n">
        <f aca="false">'Platform &amp; Data Costs'!$B$55</f>
        <v>22</v>
      </c>
      <c r="D10" s="7" t="s">
        <v>374</v>
      </c>
      <c r="E10" s="34" t="n">
        <f aca="false">IF(B17=0,0,B23/B17)</f>
        <v>0.00601263157894737</v>
      </c>
    </row>
    <row r="11" customFormat="false" ht="15" hidden="false" customHeight="false" outlineLevel="0" collapsed="false">
      <c r="A11" s="7" t="s">
        <v>718</v>
      </c>
      <c r="B11" s="24" t="n">
        <v>8000</v>
      </c>
      <c r="D11" s="7" t="s">
        <v>719</v>
      </c>
      <c r="E11" s="34" t="n">
        <f aca="false">IF(B17=0,0,B24/B17)</f>
        <v>0.00472421052631579</v>
      </c>
    </row>
    <row r="12" customFormat="false" ht="15" hidden="false" customHeight="false" outlineLevel="0" collapsed="false">
      <c r="A12" s="7" t="s">
        <v>720</v>
      </c>
      <c r="B12" s="24" t="n">
        <v>18000</v>
      </c>
      <c r="D12" s="7" t="s">
        <v>721</v>
      </c>
      <c r="E12" s="34" t="n">
        <f aca="false">IF(B17=0,0,B25/B17)</f>
        <v>0.0364912280701754</v>
      </c>
    </row>
    <row r="13" customFormat="false" ht="15" hidden="false" customHeight="false" outlineLevel="0" collapsed="false">
      <c r="A13" s="7" t="s">
        <v>722</v>
      </c>
      <c r="B13" s="24" t="n">
        <v>6000</v>
      </c>
      <c r="D13" s="7" t="s">
        <v>723</v>
      </c>
      <c r="E13" s="34" t="n">
        <f aca="false">IF(B17=0,0,B26/B17)</f>
        <v>0.0505263157894737</v>
      </c>
    </row>
    <row r="14" customFormat="false" ht="15" hidden="false" customHeight="false" outlineLevel="0" collapsed="false">
      <c r="A14" s="7" t="s">
        <v>724</v>
      </c>
      <c r="B14" s="23" t="n">
        <v>0.02</v>
      </c>
      <c r="D14" s="7" t="s">
        <v>725</v>
      </c>
      <c r="E14" s="34" t="n">
        <f aca="false">IF(B17=0,0,B27/B17)</f>
        <v>0.0168421052631579</v>
      </c>
    </row>
    <row r="15" customFormat="false" ht="15" hidden="false" customHeight="false" outlineLevel="0" collapsed="false">
      <c r="D15" s="7" t="s">
        <v>726</v>
      </c>
      <c r="E15" s="34" t="n">
        <f aca="false">IF(B17=0,0,B28/B17)</f>
        <v>0.02</v>
      </c>
    </row>
    <row r="16" customFormat="false" ht="15" hidden="false" customHeight="false" outlineLevel="0" collapsed="false">
      <c r="A16" s="37" t="s">
        <v>727</v>
      </c>
      <c r="B16" s="38"/>
      <c r="D16" s="25" t="s">
        <v>728</v>
      </c>
      <c r="E16" s="31" t="n">
        <f aca="false">B31</f>
        <v>0.204771929824561</v>
      </c>
    </row>
    <row r="17" customFormat="false" ht="15" hidden="false" customHeight="false" outlineLevel="0" collapsed="false">
      <c r="A17" s="25" t="s">
        <v>729</v>
      </c>
      <c r="B17" s="30" t="n">
        <f aca="false">'Firm Economics'!$B$21</f>
        <v>356250</v>
      </c>
    </row>
    <row r="18" customFormat="false" ht="15" hidden="false" customHeight="false" outlineLevel="0" collapsed="false">
      <c r="A18" s="7" t="s">
        <v>730</v>
      </c>
      <c r="B18" s="15" t="n">
        <f aca="false">'Firm Economics'!$B$23</f>
        <v>107100</v>
      </c>
      <c r="D18" s="2" t="s">
        <v>731</v>
      </c>
    </row>
    <row r="19" customFormat="false" ht="15" hidden="false" customHeight="false" outlineLevel="0" collapsed="false">
      <c r="A19" s="7" t="s">
        <v>711</v>
      </c>
      <c r="B19" s="15" t="n">
        <f aca="false">'Firm Economics'!$B$21*B5</f>
        <v>35625</v>
      </c>
      <c r="D19" s="2" t="s">
        <v>732</v>
      </c>
    </row>
    <row r="20" customFormat="false" ht="15" hidden="false" customHeight="false" outlineLevel="0" collapsed="false">
      <c r="A20" s="7" t="s">
        <v>733</v>
      </c>
      <c r="B20" s="15" t="n">
        <f aca="false">'Firm Economics'!$B$21*B6</f>
        <v>53437.5</v>
      </c>
    </row>
    <row r="21" customFormat="false" ht="15" hidden="false" customHeight="false" outlineLevel="0" collapsed="false">
      <c r="A21" s="7" t="s">
        <v>715</v>
      </c>
      <c r="B21" s="15" t="n">
        <f aca="false">'Firm Economics'!$B$21*B7</f>
        <v>17812.5</v>
      </c>
    </row>
    <row r="22" customFormat="false" ht="15" hidden="false" customHeight="false" outlineLevel="0" collapsed="false">
      <c r="A22" s="7" t="s">
        <v>734</v>
      </c>
      <c r="B22" s="15" t="n">
        <f aca="false">'Firm Economics'!$B$21*B8</f>
        <v>21375</v>
      </c>
    </row>
    <row r="23" customFormat="false" ht="15" hidden="false" customHeight="false" outlineLevel="0" collapsed="false">
      <c r="A23" s="7" t="s">
        <v>735</v>
      </c>
      <c r="B23" s="15" t="n">
        <f aca="false">'Firm Economics'!$B$23*B9</f>
        <v>2142</v>
      </c>
    </row>
    <row r="24" customFormat="false" ht="15" hidden="false" customHeight="false" outlineLevel="0" collapsed="false">
      <c r="A24" s="7" t="s">
        <v>736</v>
      </c>
      <c r="B24" s="15" t="n">
        <f aca="false">'Firm Economics'!$B$22*B10</f>
        <v>1683</v>
      </c>
    </row>
    <row r="25" customFormat="false" ht="15" hidden="false" customHeight="false" outlineLevel="0" collapsed="false">
      <c r="A25" s="7" t="s">
        <v>737</v>
      </c>
      <c r="B25" s="15" t="n">
        <f aca="false">B11+'Platform &amp; Data Costs'!$B$48</f>
        <v>13000</v>
      </c>
    </row>
    <row r="26" customFormat="false" ht="15" hidden="false" customHeight="false" outlineLevel="0" collapsed="false">
      <c r="A26" s="7" t="s">
        <v>738</v>
      </c>
      <c r="B26" s="15" t="n">
        <f aca="false">B12</f>
        <v>18000</v>
      </c>
    </row>
    <row r="27" customFormat="false" ht="15" hidden="false" customHeight="false" outlineLevel="0" collapsed="false">
      <c r="A27" s="7" t="s">
        <v>725</v>
      </c>
      <c r="B27" s="15" t="n">
        <f aca="false">B13</f>
        <v>6000</v>
      </c>
    </row>
    <row r="28" customFormat="false" ht="15" hidden="false" customHeight="false" outlineLevel="0" collapsed="false">
      <c r="A28" s="7" t="s">
        <v>739</v>
      </c>
      <c r="B28" s="15" t="n">
        <f aca="false">'Firm Economics'!$B$21*B14</f>
        <v>7125</v>
      </c>
    </row>
    <row r="29" customFormat="false" ht="15" hidden="false" customHeight="false" outlineLevel="0" collapsed="false">
      <c r="A29" s="25" t="s">
        <v>740</v>
      </c>
      <c r="B29" s="30" t="n">
        <f aca="false">SUM(B18:B28)</f>
        <v>283300</v>
      </c>
    </row>
    <row r="30" customFormat="false" ht="15" hidden="false" customHeight="false" outlineLevel="0" collapsed="false">
      <c r="A30" s="25" t="s">
        <v>701</v>
      </c>
      <c r="B30" s="30" t="n">
        <f aca="false">B17-B29</f>
        <v>72950</v>
      </c>
    </row>
    <row r="31" customFormat="false" ht="15" hidden="false" customHeight="false" outlineLevel="0" collapsed="false">
      <c r="A31" s="25" t="s">
        <v>702</v>
      </c>
      <c r="B31" s="31" t="n">
        <f aca="false">IF(B17=0,0,B30/B17)</f>
        <v>0.204771929824561</v>
      </c>
    </row>
    <row r="32" customFormat="false" ht="15" hidden="false" customHeight="false" outlineLevel="0" collapsed="false">
      <c r="A32" s="25" t="s">
        <v>703</v>
      </c>
      <c r="B32" s="30" t="n">
        <f aca="false">B30*12</f>
        <v>875400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5"/>
    <col collapsed="false" customWidth="true" hidden="false" outlineLevel="0" max="5" min="4" style="0" width="16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1" t="s">
        <v>741</v>
      </c>
    </row>
    <row r="2" customFormat="false" ht="15" hidden="false" customHeight="false" outlineLevel="0" collapsed="false">
      <c r="A2" s="2" t="s">
        <v>742</v>
      </c>
    </row>
    <row r="4" customFormat="false" ht="15" hidden="false" customHeight="false" outlineLevel="0" collapsed="false">
      <c r="A4" s="37" t="s">
        <v>666</v>
      </c>
      <c r="B4" s="38"/>
    </row>
    <row r="5" customFormat="false" ht="15" hidden="false" customHeight="false" outlineLevel="0" collapsed="false">
      <c r="A5" s="7" t="s">
        <v>743</v>
      </c>
      <c r="B5" s="24" t="n">
        <v>165</v>
      </c>
    </row>
    <row r="6" customFormat="false" ht="15" hidden="false" customHeight="false" outlineLevel="0" collapsed="false">
      <c r="A6" s="7" t="s">
        <v>744</v>
      </c>
      <c r="B6" s="39" t="n">
        <v>2.9</v>
      </c>
    </row>
    <row r="7" customFormat="false" ht="15" hidden="false" customHeight="false" outlineLevel="0" collapsed="false">
      <c r="A7" s="7" t="s">
        <v>745</v>
      </c>
      <c r="B7" s="24" t="n">
        <v>90</v>
      </c>
    </row>
    <row r="8" customFormat="false" ht="15" hidden="false" customHeight="false" outlineLevel="0" collapsed="false">
      <c r="A8" s="7" t="s">
        <v>746</v>
      </c>
      <c r="B8" s="24" t="n">
        <v>80</v>
      </c>
    </row>
    <row r="9" customFormat="false" ht="15" hidden="false" customHeight="false" outlineLevel="0" collapsed="false">
      <c r="A9" s="7" t="s">
        <v>747</v>
      </c>
      <c r="B9" s="24" t="n">
        <v>34</v>
      </c>
    </row>
    <row r="10" customFormat="false" ht="15" hidden="false" customHeight="false" outlineLevel="0" collapsed="false">
      <c r="A10" s="7" t="s">
        <v>748</v>
      </c>
      <c r="B10" s="28" t="n">
        <f aca="false">'Firm Economics'!$B$9</f>
        <v>0.153</v>
      </c>
    </row>
    <row r="11" customFormat="false" ht="15" hidden="false" customHeight="false" outlineLevel="0" collapsed="false">
      <c r="A11" s="7" t="s">
        <v>749</v>
      </c>
      <c r="B11" s="29" t="n">
        <f aca="false">'Firm Economics'!$B$10</f>
        <v>1400</v>
      </c>
    </row>
    <row r="13" customFormat="false" ht="15" hidden="false" customHeight="false" outlineLevel="0" collapsed="false">
      <c r="A13" s="37" t="s">
        <v>750</v>
      </c>
      <c r="B13" s="38"/>
    </row>
    <row r="14" customFormat="false" ht="15" hidden="false" customHeight="false" outlineLevel="0" collapsed="false">
      <c r="A14" s="7" t="s">
        <v>751</v>
      </c>
      <c r="B14" s="15" t="n">
        <f aca="false">B10*B11</f>
        <v>214.2</v>
      </c>
    </row>
    <row r="15" customFormat="false" ht="15" hidden="false" customHeight="false" outlineLevel="0" collapsed="false">
      <c r="A15" s="7" t="s">
        <v>752</v>
      </c>
      <c r="B15" s="15" t="n">
        <f aca="false">B10*B7</f>
        <v>13.77</v>
      </c>
    </row>
    <row r="16" customFormat="false" ht="15" hidden="false" customHeight="false" outlineLevel="0" collapsed="false">
      <c r="A16" s="32" t="s">
        <v>753</v>
      </c>
      <c r="B16" s="30" t="n">
        <f aca="false">MAX(0,(B8+B9+B14-B15)/B6)</f>
        <v>108.424137931035</v>
      </c>
    </row>
    <row r="17" customFormat="false" ht="15" hidden="false" customHeight="false" outlineLevel="0" collapsed="false">
      <c r="A17" s="32" t="s">
        <v>754</v>
      </c>
      <c r="B17" s="31" t="n">
        <f aca="false">IF(B5=0,0,MAX(0,1-B16/B5))</f>
        <v>0.342884012539185</v>
      </c>
    </row>
    <row r="19" customFormat="false" ht="15" hidden="false" customHeight="false" outlineLevel="0" collapsed="false">
      <c r="A19" s="37" t="s">
        <v>755</v>
      </c>
      <c r="B19" s="38"/>
      <c r="C19" s="38"/>
      <c r="D19" s="38"/>
      <c r="E19" s="38"/>
    </row>
    <row r="20" customFormat="false" ht="23.85" hidden="false" customHeight="false" outlineLevel="0" collapsed="false">
      <c r="A20" s="6" t="s">
        <v>756</v>
      </c>
      <c r="B20" s="6" t="s">
        <v>757</v>
      </c>
      <c r="C20" s="6" t="s">
        <v>758</v>
      </c>
      <c r="D20" s="6" t="s">
        <v>759</v>
      </c>
      <c r="E20" s="6" t="s">
        <v>389</v>
      </c>
    </row>
    <row r="21" customFormat="false" ht="15" hidden="false" customHeight="false" outlineLevel="0" collapsed="false">
      <c r="A21" s="43" t="n">
        <v>0</v>
      </c>
      <c r="B21" s="15" t="n">
        <f aca="false">B5*(1-A21)</f>
        <v>165</v>
      </c>
      <c r="C21" s="15" t="n">
        <f aca="false">B21*B6+B15</f>
        <v>492.27</v>
      </c>
      <c r="D21" s="15" t="n">
        <f aca="false">C21-B8-B9-B14</f>
        <v>164.07</v>
      </c>
      <c r="E21" s="34" t="n">
        <f aca="false">IF(C21=0,0,D21/C21)</f>
        <v>0.333292705222744</v>
      </c>
    </row>
    <row r="22" customFormat="false" ht="15" hidden="false" customHeight="false" outlineLevel="0" collapsed="false">
      <c r="A22" s="43" t="n">
        <v>0.2</v>
      </c>
      <c r="B22" s="15" t="n">
        <f aca="false">B5*(1-A22)</f>
        <v>132</v>
      </c>
      <c r="C22" s="15" t="n">
        <f aca="false">B22*B6+B15</f>
        <v>396.57</v>
      </c>
      <c r="D22" s="15" t="n">
        <f aca="false">C22-B8-B9-B14</f>
        <v>68.37</v>
      </c>
      <c r="E22" s="34" t="n">
        <f aca="false">IF(C22=0,0,D22/C22)</f>
        <v>0.172403358801725</v>
      </c>
    </row>
    <row r="23" customFormat="false" ht="15" hidden="false" customHeight="false" outlineLevel="0" collapsed="false">
      <c r="A23" s="43" t="n">
        <v>0.4</v>
      </c>
      <c r="B23" s="15" t="n">
        <f aca="false">B5*(1-A23)</f>
        <v>99</v>
      </c>
      <c r="C23" s="15" t="n">
        <f aca="false">B23*B6+B15</f>
        <v>300.87</v>
      </c>
      <c r="D23" s="15" t="n">
        <f aca="false">C23-B8-B9-B14</f>
        <v>-27.33</v>
      </c>
      <c r="E23" s="34" t="n">
        <f aca="false">IF(C23=0,0,D23/C23)</f>
        <v>-0.090836573935587</v>
      </c>
    </row>
    <row r="24" customFormat="false" ht="15" hidden="false" customHeight="false" outlineLevel="0" collapsed="false">
      <c r="A24" s="43" t="n">
        <v>0.6</v>
      </c>
      <c r="B24" s="15" t="n">
        <f aca="false">B5*(1-A24)</f>
        <v>66</v>
      </c>
      <c r="C24" s="15" t="n">
        <f aca="false">B24*B6+B15</f>
        <v>205.17</v>
      </c>
      <c r="D24" s="15" t="n">
        <f aca="false">C24-B8-B9-B14</f>
        <v>-123.03</v>
      </c>
      <c r="E24" s="34" t="n">
        <f aca="false">IF(C24=0,0,D24/C24)</f>
        <v>-0.599649071501681</v>
      </c>
    </row>
    <row r="25" customFormat="false" ht="15" hidden="false" customHeight="false" outlineLevel="0" collapsed="false">
      <c r="A25" s="43" t="n">
        <v>0.8</v>
      </c>
      <c r="B25" s="15" t="n">
        <f aca="false">B5*(1-A25)</f>
        <v>33</v>
      </c>
      <c r="C25" s="15" t="n">
        <f aca="false">B25*B6+B15</f>
        <v>109.47</v>
      </c>
      <c r="D25" s="15" t="n">
        <f aca="false">C25-B8-B9-B14</f>
        <v>-218.73</v>
      </c>
      <c r="E25" s="34" t="n">
        <f aca="false">IF(C25=0,0,D25/C25)</f>
        <v>-1.99808166620992</v>
      </c>
    </row>
    <row r="26" customFormat="false" ht="15" hidden="false" customHeight="false" outlineLevel="0" collapsed="false">
      <c r="A26" s="43" t="n">
        <v>0.9</v>
      </c>
      <c r="B26" s="15" t="n">
        <f aca="false">B5*(1-A26)</f>
        <v>16.5</v>
      </c>
      <c r="C26" s="15" t="n">
        <f aca="false">B26*B6+B15</f>
        <v>61.62</v>
      </c>
      <c r="D26" s="15" t="n">
        <f aca="false">C26-B8-B9-B14</f>
        <v>-266.58</v>
      </c>
      <c r="E26" s="34" t="n">
        <f aca="false">IF(C26=0,0,D26/C26)</f>
        <v>-4.32619279454723</v>
      </c>
    </row>
    <row r="28" customFormat="false" ht="15" hidden="false" customHeight="false" outlineLevel="0" collapsed="false">
      <c r="A28" s="2" t="s">
        <v>760</v>
      </c>
    </row>
    <row r="29" customFormat="false" ht="15" hidden="false" customHeight="false" outlineLevel="0" collapsed="false">
      <c r="A29" s="2" t="s">
        <v>761</v>
      </c>
    </row>
    <row r="30" customFormat="false" ht="15" hidden="false" customHeight="false" outlineLevel="0" collapsed="false">
      <c r="A30" s="2" t="s">
        <v>762</v>
      </c>
    </row>
    <row r="31" customFormat="false" ht="15" hidden="false" customHeight="false" outlineLevel="0" collapsed="false">
      <c r="A31" s="2" t="s">
        <v>763</v>
      </c>
    </row>
    <row r="32" customFormat="false" ht="15" hidden="false" customHeight="false" outlineLevel="0" collapsed="false">
      <c r="A32" s="2" t="s">
        <v>764</v>
      </c>
    </row>
    <row r="33" customFormat="false" ht="15" hidden="false" customHeight="false" outlineLevel="0" collapsed="false">
      <c r="A33" s="2" t="s">
        <v>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3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766</v>
      </c>
    </row>
    <row r="2" customFormat="false" ht="15" hidden="false" customHeight="false" outlineLevel="0" collapsed="false">
      <c r="A2" s="2" t="s">
        <v>767</v>
      </c>
    </row>
    <row r="4" customFormat="false" ht="15" hidden="false" customHeight="false" outlineLevel="0" collapsed="false">
      <c r="A4" s="37" t="s">
        <v>768</v>
      </c>
      <c r="B4" s="38"/>
      <c r="C4" s="38"/>
      <c r="D4" s="38"/>
      <c r="E4" s="38"/>
      <c r="F4" s="38"/>
      <c r="G4" s="38"/>
    </row>
    <row r="5" customFormat="false" ht="15" hidden="false" customHeight="false" outlineLevel="0" collapsed="false">
      <c r="A5" s="7" t="s">
        <v>769</v>
      </c>
      <c r="B5" s="44" t="n">
        <v>500</v>
      </c>
    </row>
    <row r="6" customFormat="false" ht="15" hidden="false" customHeight="false" outlineLevel="0" collapsed="false">
      <c r="A6" s="7" t="s">
        <v>770</v>
      </c>
      <c r="B6" s="28" t="n">
        <v>0.16</v>
      </c>
    </row>
    <row r="7" customFormat="false" ht="15" hidden="false" customHeight="false" outlineLevel="0" collapsed="false">
      <c r="A7" s="7" t="s">
        <v>771</v>
      </c>
      <c r="B7" s="45" t="n">
        <v>2.2</v>
      </c>
    </row>
    <row r="8" customFormat="false" ht="15" hidden="false" customHeight="false" outlineLevel="0" collapsed="false">
      <c r="A8" s="7" t="s">
        <v>772</v>
      </c>
      <c r="B8" s="44" t="n">
        <v>176</v>
      </c>
    </row>
    <row r="9" customFormat="false" ht="15" hidden="false" customHeight="false" outlineLevel="0" collapsed="false">
      <c r="A9" s="7" t="s">
        <v>773</v>
      </c>
      <c r="B9" s="28" t="n">
        <v>0.3</v>
      </c>
    </row>
    <row r="10" customFormat="false" ht="23.85" hidden="false" customHeight="false" outlineLevel="0" collapsed="false">
      <c r="A10" s="7" t="s">
        <v>774</v>
      </c>
      <c r="B10" s="46" t="s">
        <v>775</v>
      </c>
    </row>
    <row r="11" customFormat="false" ht="15" hidden="false" customHeight="false" outlineLevel="0" collapsed="false">
      <c r="A11" s="7" t="s">
        <v>776</v>
      </c>
      <c r="B11" s="29" t="n">
        <v>220</v>
      </c>
    </row>
    <row r="12" customFormat="false" ht="15" hidden="false" customHeight="false" outlineLevel="0" collapsed="false">
      <c r="A12" s="7" t="s">
        <v>777</v>
      </c>
      <c r="B12" s="29" t="n">
        <v>33000</v>
      </c>
    </row>
    <row r="14" customFormat="false" ht="15" hidden="false" customHeight="false" outlineLevel="0" collapsed="false">
      <c r="A14" s="37" t="s">
        <v>778</v>
      </c>
      <c r="B14" s="38"/>
      <c r="C14" s="38"/>
      <c r="D14" s="38"/>
      <c r="E14" s="38"/>
      <c r="F14" s="38"/>
      <c r="G14" s="38"/>
    </row>
    <row r="15" customFormat="false" ht="23.85" hidden="false" customHeight="false" outlineLevel="0" collapsed="false">
      <c r="A15" s="6" t="s">
        <v>779</v>
      </c>
      <c r="B15" s="6" t="s">
        <v>780</v>
      </c>
      <c r="C15" s="6" t="s">
        <v>781</v>
      </c>
      <c r="D15" s="6" t="s">
        <v>782</v>
      </c>
      <c r="E15" s="6" t="s">
        <v>783</v>
      </c>
      <c r="F15" s="6" t="s">
        <v>784</v>
      </c>
      <c r="G15" s="6" t="s">
        <v>785</v>
      </c>
    </row>
    <row r="16" customFormat="false" ht="15" hidden="false" customHeight="false" outlineLevel="0" collapsed="false">
      <c r="A16" s="13" t="s">
        <v>786</v>
      </c>
      <c r="B16" s="29" t="n">
        <v>45307.2959571154</v>
      </c>
      <c r="C16" s="29" t="n">
        <v>13266.9060165215</v>
      </c>
      <c r="D16" s="29" t="n">
        <v>68526.1938773792</v>
      </c>
      <c r="E16" s="29" t="n">
        <v>79604.2902097527</v>
      </c>
      <c r="F16" s="29" t="n">
        <v>84838.9956803967</v>
      </c>
      <c r="G16" s="47" t="n">
        <v>1.87252392552182</v>
      </c>
    </row>
    <row r="17" customFormat="false" ht="15" hidden="false" customHeight="false" outlineLevel="0" collapsed="false">
      <c r="A17" s="13" t="s">
        <v>787</v>
      </c>
      <c r="B17" s="29" t="n">
        <v>45236.543184661</v>
      </c>
      <c r="C17" s="29" t="n">
        <v>21361.6225277921</v>
      </c>
      <c r="D17" s="29" t="n">
        <v>84384.4335137475</v>
      </c>
      <c r="E17" s="29" t="n">
        <v>102402.773067248</v>
      </c>
      <c r="F17" s="29" t="n">
        <v>109591.289907102</v>
      </c>
      <c r="G17" s="47" t="n">
        <v>2.42262742004263</v>
      </c>
    </row>
    <row r="18" customFormat="false" ht="15" hidden="false" customHeight="false" outlineLevel="0" collapsed="false">
      <c r="A18" s="13" t="s">
        <v>788</v>
      </c>
      <c r="B18" s="29" t="n">
        <v>45379.9335630479</v>
      </c>
      <c r="C18" s="29" t="n">
        <v>30044.5728250123</v>
      </c>
      <c r="D18" s="29" t="n">
        <v>103251.983071505</v>
      </c>
      <c r="E18" s="29" t="n">
        <v>125068.352104231</v>
      </c>
      <c r="F18" s="29" t="n">
        <v>132896.713068082</v>
      </c>
      <c r="G18" s="47" t="n">
        <v>2.92853476489656</v>
      </c>
    </row>
    <row r="20" customFormat="false" ht="15" hidden="false" customHeight="false" outlineLevel="0" collapsed="false">
      <c r="A20" s="37" t="s">
        <v>789</v>
      </c>
      <c r="B20" s="38"/>
      <c r="C20" s="38"/>
      <c r="D20" s="38"/>
      <c r="E20" s="38"/>
      <c r="F20" s="38"/>
      <c r="G20" s="38"/>
    </row>
    <row r="21" customFormat="false" ht="15" hidden="false" customHeight="false" outlineLevel="0" collapsed="false">
      <c r="A21" s="6" t="s">
        <v>458</v>
      </c>
      <c r="B21" s="6" t="s">
        <v>790</v>
      </c>
      <c r="C21" s="6" t="s">
        <v>791</v>
      </c>
      <c r="D21" s="6" t="s">
        <v>792</v>
      </c>
      <c r="E21" s="6" t="s">
        <v>793</v>
      </c>
      <c r="F21" s="6" t="s">
        <v>794</v>
      </c>
      <c r="G21" s="6" t="s">
        <v>795</v>
      </c>
    </row>
    <row r="22" customFormat="false" ht="15" hidden="false" customHeight="false" outlineLevel="0" collapsed="false">
      <c r="A22" s="32" t="s">
        <v>796</v>
      </c>
      <c r="B22" s="48" t="n">
        <v>0.000375</v>
      </c>
      <c r="C22" s="28" t="n">
        <v>0</v>
      </c>
      <c r="D22" s="28" t="n">
        <v>0</v>
      </c>
      <c r="E22" s="28" t="n">
        <v>0</v>
      </c>
      <c r="F22" s="28" t="n">
        <v>0</v>
      </c>
      <c r="G22" s="9" t="s">
        <v>797</v>
      </c>
    </row>
    <row r="23" customFormat="false" ht="15" hidden="false" customHeight="false" outlineLevel="0" collapsed="false">
      <c r="A23" s="32" t="s">
        <v>798</v>
      </c>
      <c r="B23" s="48" t="n">
        <v>0.007125</v>
      </c>
      <c r="C23" s="48" t="n">
        <v>0.00075</v>
      </c>
      <c r="D23" s="48" t="n">
        <v>0.00025</v>
      </c>
      <c r="E23" s="28" t="n">
        <v>0</v>
      </c>
      <c r="F23" s="28" t="n">
        <v>0</v>
      </c>
      <c r="G23" s="9" t="s">
        <v>799</v>
      </c>
    </row>
    <row r="24" customFormat="false" ht="15" hidden="false" customHeight="false" outlineLevel="0" collapsed="false">
      <c r="A24" s="32" t="s">
        <v>800</v>
      </c>
      <c r="B24" s="48" t="n">
        <v>0.002</v>
      </c>
      <c r="C24" s="48" t="n">
        <v>0.000125</v>
      </c>
      <c r="D24" s="28" t="n">
        <v>0</v>
      </c>
      <c r="E24" s="28" t="n">
        <v>0</v>
      </c>
      <c r="F24" s="28" t="n">
        <v>0</v>
      </c>
      <c r="G24" s="9" t="s">
        <v>801</v>
      </c>
    </row>
    <row r="25" customFormat="false" ht="15" hidden="false" customHeight="false" outlineLevel="0" collapsed="false">
      <c r="A25" s="32" t="s">
        <v>802</v>
      </c>
      <c r="B25" s="49" t="n">
        <v>0.06275</v>
      </c>
      <c r="C25" s="49" t="n">
        <v>0.016375</v>
      </c>
      <c r="D25" s="48" t="n">
        <v>0.003625</v>
      </c>
      <c r="E25" s="48" t="n">
        <v>0.000125</v>
      </c>
      <c r="F25" s="28" t="n">
        <v>0</v>
      </c>
      <c r="G25" s="9" t="s">
        <v>803</v>
      </c>
    </row>
    <row r="27" customFormat="false" ht="15" hidden="false" customHeight="false" outlineLevel="0" collapsed="false">
      <c r="A27" s="37" t="s">
        <v>804</v>
      </c>
      <c r="B27" s="38"/>
      <c r="C27" s="38"/>
      <c r="D27" s="38"/>
      <c r="E27" s="38"/>
      <c r="F27" s="38"/>
      <c r="G27" s="38"/>
    </row>
    <row r="28" customFormat="false" ht="22.35" hidden="false" customHeight="true" outlineLevel="0" collapsed="false">
      <c r="A28" s="50" t="s">
        <v>805</v>
      </c>
      <c r="B28" s="51" t="s">
        <v>806</v>
      </c>
      <c r="C28" s="51"/>
      <c r="D28" s="51"/>
      <c r="E28" s="51"/>
      <c r="F28" s="51"/>
      <c r="G28" s="51"/>
    </row>
    <row r="29" customFormat="false" ht="22.35" hidden="false" customHeight="true" outlineLevel="0" collapsed="false">
      <c r="A29" s="50" t="s">
        <v>807</v>
      </c>
      <c r="B29" s="51" t="s">
        <v>808</v>
      </c>
      <c r="C29" s="51"/>
      <c r="D29" s="51"/>
      <c r="E29" s="51"/>
      <c r="F29" s="51"/>
      <c r="G29" s="51"/>
    </row>
    <row r="30" customFormat="false" ht="22.35" hidden="false" customHeight="true" outlineLevel="0" collapsed="false">
      <c r="A30" s="50" t="s">
        <v>809</v>
      </c>
      <c r="B30" s="51" t="s">
        <v>810</v>
      </c>
      <c r="C30" s="51"/>
      <c r="D30" s="51"/>
      <c r="E30" s="51"/>
      <c r="F30" s="51"/>
      <c r="G30" s="51"/>
    </row>
    <row r="31" customFormat="false" ht="32.8" hidden="false" customHeight="true" outlineLevel="0" collapsed="false">
      <c r="A31" s="50" t="s">
        <v>811</v>
      </c>
      <c r="B31" s="51" t="s">
        <v>812</v>
      </c>
      <c r="C31" s="51"/>
      <c r="D31" s="51"/>
      <c r="E31" s="51"/>
      <c r="F31" s="51"/>
      <c r="G31" s="51"/>
    </row>
    <row r="32" customFormat="false" ht="22.35" hidden="false" customHeight="true" outlineLevel="0" collapsed="false">
      <c r="A32" s="50" t="s">
        <v>813</v>
      </c>
      <c r="B32" s="51" t="s">
        <v>814</v>
      </c>
      <c r="C32" s="51"/>
      <c r="D32" s="51"/>
      <c r="E32" s="51"/>
      <c r="F32" s="51"/>
      <c r="G32" s="51"/>
    </row>
    <row r="33" customFormat="false" ht="22.35" hidden="false" customHeight="true" outlineLevel="0" collapsed="false">
      <c r="A33" s="50" t="s">
        <v>815</v>
      </c>
      <c r="B33" s="51" t="s">
        <v>816</v>
      </c>
      <c r="C33" s="51"/>
      <c r="D33" s="51"/>
      <c r="E33" s="51"/>
      <c r="F33" s="51"/>
      <c r="G33" s="51"/>
    </row>
    <row r="35" customFormat="false" ht="15" hidden="false" customHeight="false" outlineLevel="0" collapsed="false">
      <c r="A35" s="2" t="s">
        <v>817</v>
      </c>
    </row>
    <row r="36" customFormat="false" ht="15" hidden="false" customHeight="false" outlineLevel="0" collapsed="false">
      <c r="A36" s="2" t="s">
        <v>818</v>
      </c>
    </row>
    <row r="37" customFormat="false" ht="15" hidden="false" customHeight="false" outlineLevel="0" collapsed="false">
      <c r="A37" s="2" t="s">
        <v>819</v>
      </c>
    </row>
    <row r="38" customFormat="false" ht="15" hidden="false" customHeight="false" outlineLevel="0" collapsed="false">
      <c r="A38" s="2" t="s">
        <v>820</v>
      </c>
    </row>
  </sheetData>
  <mergeCells count="6">
    <mergeCell ref="B28:G28"/>
    <mergeCell ref="B29:G29"/>
    <mergeCell ref="B30:G30"/>
    <mergeCell ref="B31:G31"/>
    <mergeCell ref="B32:G32"/>
    <mergeCell ref="B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821</v>
      </c>
    </row>
    <row r="2" customFormat="false" ht="15" hidden="false" customHeight="false" outlineLevel="0" collapsed="false">
      <c r="A2" s="2" t="s">
        <v>822</v>
      </c>
    </row>
    <row r="4" customFormat="false" ht="15" hidden="false" customHeight="false" outlineLevel="0" collapsed="false">
      <c r="A4" s="37" t="s">
        <v>823</v>
      </c>
      <c r="B4" s="38"/>
      <c r="C4" s="38"/>
    </row>
    <row r="5" customFormat="false" ht="15" hidden="false" customHeight="false" outlineLevel="0" collapsed="false">
      <c r="A5" s="6" t="s">
        <v>39</v>
      </c>
      <c r="B5" s="6" t="s">
        <v>824</v>
      </c>
      <c r="C5" s="6" t="s">
        <v>825</v>
      </c>
    </row>
    <row r="6" customFormat="false" ht="23.85" hidden="false" customHeight="false" outlineLevel="0" collapsed="false">
      <c r="A6" s="50" t="s">
        <v>826</v>
      </c>
      <c r="B6" s="16" t="s">
        <v>827</v>
      </c>
      <c r="C6" s="51" t="s">
        <v>828</v>
      </c>
    </row>
    <row r="7" customFormat="false" ht="23.85" hidden="false" customHeight="false" outlineLevel="0" collapsed="false">
      <c r="A7" s="50" t="s">
        <v>829</v>
      </c>
      <c r="B7" s="16" t="s">
        <v>830</v>
      </c>
      <c r="C7" s="51" t="s">
        <v>831</v>
      </c>
    </row>
    <row r="8" customFormat="false" ht="23.85" hidden="false" customHeight="false" outlineLevel="0" collapsed="false">
      <c r="A8" s="50" t="s">
        <v>832</v>
      </c>
      <c r="B8" s="16" t="s">
        <v>833</v>
      </c>
      <c r="C8" s="51" t="s">
        <v>834</v>
      </c>
    </row>
    <row r="9" customFormat="false" ht="23.85" hidden="false" customHeight="false" outlineLevel="0" collapsed="false">
      <c r="A9" s="50" t="s">
        <v>835</v>
      </c>
      <c r="B9" s="16" t="s">
        <v>836</v>
      </c>
      <c r="C9" s="51" t="s">
        <v>837</v>
      </c>
    </row>
    <row r="10" customFormat="false" ht="22.35" hidden="false" customHeight="false" outlineLevel="0" collapsed="false">
      <c r="A10" s="50" t="s">
        <v>838</v>
      </c>
      <c r="B10" s="16" t="s">
        <v>839</v>
      </c>
      <c r="C10" s="51" t="s">
        <v>840</v>
      </c>
    </row>
    <row r="11" customFormat="false" ht="23.85" hidden="false" customHeight="false" outlineLevel="0" collapsed="false">
      <c r="A11" s="50" t="s">
        <v>841</v>
      </c>
      <c r="B11" s="16" t="s">
        <v>842</v>
      </c>
      <c r="C11" s="51" t="s">
        <v>843</v>
      </c>
    </row>
    <row r="13" customFormat="false" ht="15" hidden="false" customHeight="false" outlineLevel="0" collapsed="false">
      <c r="A13" s="37" t="s">
        <v>844</v>
      </c>
      <c r="B13" s="38"/>
      <c r="C13" s="38"/>
    </row>
    <row r="14" customFormat="false" ht="15" hidden="false" customHeight="false" outlineLevel="0" collapsed="false">
      <c r="A14" s="6" t="s">
        <v>845</v>
      </c>
      <c r="B14" s="6" t="s">
        <v>244</v>
      </c>
      <c r="C14" s="6" t="s">
        <v>846</v>
      </c>
    </row>
    <row r="15" customFormat="false" ht="35.05" hidden="false" customHeight="false" outlineLevel="0" collapsed="false">
      <c r="A15" s="50" t="s">
        <v>847</v>
      </c>
      <c r="B15" s="16" t="s">
        <v>848</v>
      </c>
      <c r="C15" s="51" t="s">
        <v>849</v>
      </c>
    </row>
    <row r="16" customFormat="false" ht="35.05" hidden="false" customHeight="false" outlineLevel="0" collapsed="false">
      <c r="A16" s="50" t="s">
        <v>850</v>
      </c>
      <c r="B16" s="16" t="s">
        <v>851</v>
      </c>
      <c r="C16" s="51" t="s">
        <v>852</v>
      </c>
    </row>
    <row r="17" customFormat="false" ht="23.85" hidden="false" customHeight="false" outlineLevel="0" collapsed="false">
      <c r="A17" s="50" t="s">
        <v>853</v>
      </c>
      <c r="B17" s="16" t="s">
        <v>854</v>
      </c>
      <c r="C17" s="51" t="s">
        <v>855</v>
      </c>
    </row>
    <row r="18" customFormat="false" ht="23.85" hidden="false" customHeight="false" outlineLevel="0" collapsed="false">
      <c r="A18" s="50" t="s">
        <v>856</v>
      </c>
      <c r="B18" s="16" t="s">
        <v>857</v>
      </c>
      <c r="C18" s="51" t="s">
        <v>858</v>
      </c>
    </row>
    <row r="19" customFormat="false" ht="23.85" hidden="false" customHeight="false" outlineLevel="0" collapsed="false">
      <c r="A19" s="50" t="s">
        <v>859</v>
      </c>
      <c r="B19" s="16" t="s">
        <v>860</v>
      </c>
      <c r="C19" s="51" t="s">
        <v>861</v>
      </c>
    </row>
    <row r="20" customFormat="false" ht="23.85" hidden="false" customHeight="false" outlineLevel="0" collapsed="false">
      <c r="A20" s="50" t="s">
        <v>862</v>
      </c>
      <c r="B20" s="16" t="s">
        <v>863</v>
      </c>
      <c r="C20" s="51" t="s">
        <v>864</v>
      </c>
    </row>
    <row r="22" customFormat="false" ht="15" hidden="false" customHeight="false" outlineLevel="0" collapsed="false">
      <c r="A22" s="37" t="s">
        <v>865</v>
      </c>
      <c r="B22" s="38"/>
      <c r="C22" s="38"/>
    </row>
    <row r="23" customFormat="false" ht="15" hidden="false" customHeight="false" outlineLevel="0" collapsed="false">
      <c r="A23" s="6" t="s">
        <v>866</v>
      </c>
      <c r="B23" s="6" t="s">
        <v>867</v>
      </c>
      <c r="C23" s="6" t="s">
        <v>868</v>
      </c>
    </row>
    <row r="24" customFormat="false" ht="68.65" hidden="false" customHeight="false" outlineLevel="0" collapsed="false">
      <c r="A24" s="50" t="s">
        <v>869</v>
      </c>
      <c r="B24" s="16" t="s">
        <v>870</v>
      </c>
      <c r="C24" s="51" t="s">
        <v>871</v>
      </c>
    </row>
    <row r="25" customFormat="false" ht="23.85" hidden="false" customHeight="false" outlineLevel="0" collapsed="false">
      <c r="A25" s="50" t="s">
        <v>872</v>
      </c>
      <c r="B25" s="16" t="s">
        <v>873</v>
      </c>
      <c r="C25" s="51" t="s">
        <v>874</v>
      </c>
    </row>
    <row r="26" customFormat="false" ht="23.85" hidden="false" customHeight="false" outlineLevel="0" collapsed="false">
      <c r="A26" s="50" t="s">
        <v>875</v>
      </c>
      <c r="B26" s="16" t="s">
        <v>876</v>
      </c>
      <c r="C26" s="51" t="s">
        <v>877</v>
      </c>
    </row>
    <row r="27" customFormat="false" ht="23.85" hidden="false" customHeight="false" outlineLevel="0" collapsed="false">
      <c r="A27" s="50" t="s">
        <v>878</v>
      </c>
      <c r="B27" s="16" t="s">
        <v>879</v>
      </c>
      <c r="C27" s="51" t="s">
        <v>880</v>
      </c>
    </row>
    <row r="28" customFormat="false" ht="35.05" hidden="false" customHeight="false" outlineLevel="0" collapsed="false">
      <c r="A28" s="50" t="s">
        <v>881</v>
      </c>
      <c r="B28" s="16" t="s">
        <v>882</v>
      </c>
      <c r="C28" s="51" t="s">
        <v>883</v>
      </c>
    </row>
    <row r="30" customFormat="false" ht="15" hidden="false" customHeight="false" outlineLevel="0" collapsed="false">
      <c r="A30" s="37" t="s">
        <v>884</v>
      </c>
      <c r="B30" s="38"/>
      <c r="C30" s="38"/>
    </row>
    <row r="31" customFormat="false" ht="15" hidden="false" customHeight="false" outlineLevel="0" collapsed="false">
      <c r="A31" s="6" t="s">
        <v>77</v>
      </c>
      <c r="B31" s="6" t="s">
        <v>885</v>
      </c>
      <c r="C31" s="6" t="s">
        <v>886</v>
      </c>
    </row>
    <row r="32" customFormat="false" ht="35.05" hidden="false" customHeight="false" outlineLevel="0" collapsed="false">
      <c r="A32" s="50" t="s">
        <v>887</v>
      </c>
      <c r="B32" s="16" t="s">
        <v>888</v>
      </c>
      <c r="C32" s="51" t="s">
        <v>889</v>
      </c>
    </row>
    <row r="33" customFormat="false" ht="23.85" hidden="false" customHeight="false" outlineLevel="0" collapsed="false">
      <c r="A33" s="50" t="s">
        <v>890</v>
      </c>
      <c r="B33" s="16" t="s">
        <v>891</v>
      </c>
      <c r="C33" s="51" t="s">
        <v>892</v>
      </c>
    </row>
    <row r="34" customFormat="false" ht="23.85" hidden="false" customHeight="false" outlineLevel="0" collapsed="false">
      <c r="A34" s="50" t="s">
        <v>893</v>
      </c>
      <c r="B34" s="16" t="s">
        <v>894</v>
      </c>
      <c r="C34" s="51" t="s">
        <v>895</v>
      </c>
    </row>
    <row r="35" customFormat="false" ht="46.25" hidden="false" customHeight="false" outlineLevel="0" collapsed="false">
      <c r="A35" s="50" t="s">
        <v>896</v>
      </c>
      <c r="B35" s="16" t="s">
        <v>897</v>
      </c>
      <c r="C35" s="51" t="s">
        <v>898</v>
      </c>
    </row>
    <row r="36" customFormat="false" ht="23.85" hidden="false" customHeight="false" outlineLevel="0" collapsed="false">
      <c r="A36" s="50" t="s">
        <v>899</v>
      </c>
      <c r="B36" s="16" t="s">
        <v>900</v>
      </c>
      <c r="C36" s="51" t="s">
        <v>901</v>
      </c>
    </row>
    <row r="37" customFormat="false" ht="46.25" hidden="false" customHeight="false" outlineLevel="0" collapsed="false">
      <c r="A37" s="50" t="s">
        <v>902</v>
      </c>
      <c r="B37" s="16" t="s">
        <v>903</v>
      </c>
      <c r="C37" s="51" t="s">
        <v>904</v>
      </c>
    </row>
    <row r="39" customFormat="false" ht="15" hidden="false" customHeight="false" outlineLevel="0" collapsed="false">
      <c r="A39" s="2" t="s">
        <v>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66"/>
  </cols>
  <sheetData>
    <row r="1" customFormat="false" ht="17.35" hidden="false" customHeight="false" outlineLevel="0" collapsed="false">
      <c r="A1" s="1" t="s">
        <v>906</v>
      </c>
    </row>
    <row r="2" customFormat="false" ht="15" hidden="false" customHeight="false" outlineLevel="0" collapsed="false">
      <c r="A2" s="2" t="s">
        <v>907</v>
      </c>
    </row>
    <row r="4" customFormat="false" ht="15" hidden="false" customHeight="false" outlineLevel="0" collapsed="false">
      <c r="A4" s="37" t="s">
        <v>908</v>
      </c>
      <c r="B4" s="38"/>
      <c r="C4" s="38"/>
    </row>
    <row r="5" customFormat="false" ht="15" hidden="false" customHeight="false" outlineLevel="0" collapsed="false">
      <c r="A5" s="6" t="s">
        <v>76</v>
      </c>
      <c r="B5" s="6" t="s">
        <v>909</v>
      </c>
      <c r="C5" s="6" t="s">
        <v>910</v>
      </c>
    </row>
    <row r="6" customFormat="false" ht="46.25" hidden="false" customHeight="false" outlineLevel="0" collapsed="false">
      <c r="A6" s="32" t="s">
        <v>92</v>
      </c>
      <c r="B6" s="16" t="s">
        <v>911</v>
      </c>
      <c r="C6" s="16" t="s">
        <v>912</v>
      </c>
    </row>
    <row r="7" customFormat="false" ht="23.85" hidden="false" customHeight="false" outlineLevel="0" collapsed="false">
      <c r="A7" s="32" t="s">
        <v>913</v>
      </c>
      <c r="B7" s="16" t="s">
        <v>914</v>
      </c>
      <c r="C7" s="16" t="s">
        <v>915</v>
      </c>
    </row>
    <row r="8" customFormat="false" ht="35.05" hidden="false" customHeight="false" outlineLevel="0" collapsed="false">
      <c r="A8" s="32" t="s">
        <v>413</v>
      </c>
      <c r="B8" s="16" t="s">
        <v>916</v>
      </c>
      <c r="C8" s="16" t="s">
        <v>917</v>
      </c>
    </row>
    <row r="9" customFormat="false" ht="23.85" hidden="false" customHeight="false" outlineLevel="0" collapsed="false">
      <c r="A9" s="32" t="s">
        <v>918</v>
      </c>
      <c r="B9" s="16" t="s">
        <v>919</v>
      </c>
      <c r="C9" s="16" t="s">
        <v>920</v>
      </c>
    </row>
    <row r="10" customFormat="false" ht="15" hidden="false" customHeight="false" outlineLevel="0" collapsed="false">
      <c r="A10" s="32" t="s">
        <v>142</v>
      </c>
      <c r="B10" s="16" t="s">
        <v>921</v>
      </c>
      <c r="C10" s="16" t="s">
        <v>922</v>
      </c>
    </row>
    <row r="11" customFormat="false" ht="23.85" hidden="false" customHeight="false" outlineLevel="0" collapsed="false">
      <c r="A11" s="32" t="s">
        <v>122</v>
      </c>
      <c r="B11" s="16" t="s">
        <v>923</v>
      </c>
      <c r="C11" s="16" t="s">
        <v>924</v>
      </c>
    </row>
    <row r="13" customFormat="false" ht="15" hidden="false" customHeight="false" outlineLevel="0" collapsed="false">
      <c r="A13" s="37" t="s">
        <v>925</v>
      </c>
      <c r="B13" s="38"/>
      <c r="C13" s="38"/>
    </row>
    <row r="14" customFormat="false" ht="15" hidden="false" customHeight="false" outlineLevel="0" collapsed="false">
      <c r="A14" s="2" t="s">
        <v>926</v>
      </c>
    </row>
    <row r="15" customFormat="false" ht="15" hidden="false" customHeight="false" outlineLevel="0" collapsed="false">
      <c r="A15" s="2" t="s">
        <v>927</v>
      </c>
    </row>
    <row r="16" customFormat="false" ht="15" hidden="false" customHeight="false" outlineLevel="0" collapsed="false">
      <c r="A16" s="2" t="s">
        <v>928</v>
      </c>
    </row>
    <row r="17" customFormat="false" ht="15" hidden="false" customHeight="false" outlineLevel="0" collapsed="false">
      <c r="A17" s="2" t="s">
        <v>929</v>
      </c>
    </row>
    <row r="18" customFormat="false" ht="15" hidden="false" customHeight="false" outlineLevel="0" collapsed="false">
      <c r="A18" s="2" t="s">
        <v>930</v>
      </c>
    </row>
    <row r="19" customFormat="false" ht="15" hidden="false" customHeight="false" outlineLevel="0" collapsed="false">
      <c r="A19" s="2" t="s">
        <v>931</v>
      </c>
    </row>
    <row r="20" customFormat="false" ht="15" hidden="false" customHeight="false" outlineLevel="0" collapsed="false">
      <c r="A20" s="2" t="s">
        <v>932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933</v>
      </c>
    </row>
    <row r="2" customFormat="false" ht="15" hidden="false" customHeight="false" outlineLevel="0" collapsed="false">
      <c r="A2" s="2" t="s">
        <v>934</v>
      </c>
    </row>
    <row r="4" customFormat="false" ht="15" hidden="false" customHeight="false" outlineLevel="0" collapsed="false">
      <c r="A4" s="37" t="s">
        <v>935</v>
      </c>
      <c r="B4" s="38"/>
      <c r="C4" s="38"/>
    </row>
    <row r="5" customFormat="false" ht="15" hidden="false" customHeight="false" outlineLevel="0" collapsed="false">
      <c r="A5" s="6" t="s">
        <v>936</v>
      </c>
      <c r="B5" s="6" t="s">
        <v>937</v>
      </c>
      <c r="C5" s="6" t="s">
        <v>938</v>
      </c>
    </row>
    <row r="6" customFormat="false" ht="32.8" hidden="false" customHeight="false" outlineLevel="0" collapsed="false">
      <c r="A6" s="32" t="s">
        <v>939</v>
      </c>
      <c r="B6" s="16" t="s">
        <v>940</v>
      </c>
      <c r="C6" s="51" t="s">
        <v>941</v>
      </c>
    </row>
    <row r="7" customFormat="false" ht="22.35" hidden="false" customHeight="false" outlineLevel="0" collapsed="false">
      <c r="A7" s="32" t="s">
        <v>942</v>
      </c>
      <c r="B7" s="16" t="s">
        <v>943</v>
      </c>
      <c r="C7" s="51" t="s">
        <v>944</v>
      </c>
    </row>
    <row r="8" customFormat="false" ht="22.35" hidden="false" customHeight="false" outlineLevel="0" collapsed="false">
      <c r="A8" s="32" t="s">
        <v>945</v>
      </c>
      <c r="B8" s="16" t="s">
        <v>946</v>
      </c>
      <c r="C8" s="51" t="s">
        <v>947</v>
      </c>
    </row>
    <row r="9" customFormat="false" ht="35.05" hidden="false" customHeight="false" outlineLevel="0" collapsed="false">
      <c r="A9" s="32" t="s">
        <v>948</v>
      </c>
      <c r="B9" s="16" t="s">
        <v>949</v>
      </c>
      <c r="C9" s="51" t="s">
        <v>950</v>
      </c>
    </row>
    <row r="10" customFormat="false" ht="22.35" hidden="false" customHeight="false" outlineLevel="0" collapsed="false">
      <c r="A10" s="32" t="s">
        <v>951</v>
      </c>
      <c r="B10" s="16" t="s">
        <v>952</v>
      </c>
      <c r="C10" s="51" t="s">
        <v>953</v>
      </c>
    </row>
    <row r="12" customFormat="false" ht="15" hidden="false" customHeight="false" outlineLevel="0" collapsed="false">
      <c r="A12" s="37" t="s">
        <v>954</v>
      </c>
      <c r="B12" s="38"/>
      <c r="C12" s="38"/>
    </row>
    <row r="13" customFormat="false" ht="15" hidden="false" customHeight="false" outlineLevel="0" collapsed="false">
      <c r="A13" s="6" t="s">
        <v>955</v>
      </c>
      <c r="B13" s="6" t="s">
        <v>956</v>
      </c>
      <c r="C13" s="6" t="s">
        <v>957</v>
      </c>
    </row>
    <row r="14" customFormat="false" ht="35.05" hidden="false" customHeight="false" outlineLevel="0" collapsed="false">
      <c r="A14" s="16" t="s">
        <v>958</v>
      </c>
      <c r="B14" s="52" t="s">
        <v>959</v>
      </c>
      <c r="C14" s="51" t="s">
        <v>960</v>
      </c>
    </row>
    <row r="15" customFormat="false" ht="23.85" hidden="false" customHeight="false" outlineLevel="0" collapsed="false">
      <c r="A15" s="16" t="s">
        <v>961</v>
      </c>
      <c r="B15" s="52" t="s">
        <v>959</v>
      </c>
      <c r="C15" s="51" t="s">
        <v>962</v>
      </c>
    </row>
    <row r="16" customFormat="false" ht="32.8" hidden="false" customHeight="false" outlineLevel="0" collapsed="false">
      <c r="A16" s="16" t="s">
        <v>963</v>
      </c>
      <c r="B16" s="52" t="s">
        <v>959</v>
      </c>
      <c r="C16" s="51" t="s">
        <v>964</v>
      </c>
    </row>
    <row r="17" customFormat="false" ht="32.8" hidden="false" customHeight="false" outlineLevel="0" collapsed="false">
      <c r="A17" s="16" t="s">
        <v>965</v>
      </c>
      <c r="B17" s="52" t="s">
        <v>966</v>
      </c>
      <c r="C17" s="51" t="s">
        <v>967</v>
      </c>
    </row>
    <row r="18" customFormat="false" ht="23.85" hidden="false" customHeight="false" outlineLevel="0" collapsed="false">
      <c r="A18" s="16" t="s">
        <v>968</v>
      </c>
      <c r="B18" s="53" t="s">
        <v>969</v>
      </c>
      <c r="C18" s="51" t="s">
        <v>970</v>
      </c>
    </row>
    <row r="19" customFormat="false" ht="32.8" hidden="false" customHeight="false" outlineLevel="0" collapsed="false">
      <c r="A19" s="16" t="s">
        <v>971</v>
      </c>
      <c r="B19" s="52" t="s">
        <v>966</v>
      </c>
      <c r="C19" s="51" t="s">
        <v>972</v>
      </c>
    </row>
    <row r="20" customFormat="false" ht="23.85" hidden="false" customHeight="false" outlineLevel="0" collapsed="false">
      <c r="A20" s="16" t="s">
        <v>973</v>
      </c>
      <c r="B20" s="53" t="s">
        <v>969</v>
      </c>
      <c r="C20" s="51" t="s">
        <v>974</v>
      </c>
    </row>
    <row r="21" customFormat="false" ht="23.85" hidden="false" customHeight="false" outlineLevel="0" collapsed="false">
      <c r="A21" s="16" t="s">
        <v>975</v>
      </c>
      <c r="B21" s="52" t="s">
        <v>959</v>
      </c>
      <c r="C21" s="51" t="s">
        <v>976</v>
      </c>
    </row>
    <row r="23" customFormat="false" ht="15" hidden="false" customHeight="false" outlineLevel="0" collapsed="false">
      <c r="A23" s="37" t="s">
        <v>977</v>
      </c>
      <c r="B23" s="38"/>
      <c r="C23" s="38"/>
    </row>
    <row r="24" customFormat="false" ht="15" hidden="false" customHeight="false" outlineLevel="0" collapsed="false">
      <c r="A24" s="2" t="s">
        <v>978</v>
      </c>
    </row>
    <row r="25" customFormat="false" ht="15" hidden="false" customHeight="false" outlineLevel="0" collapsed="false">
      <c r="A25" s="2" t="s">
        <v>979</v>
      </c>
    </row>
    <row r="26" customFormat="false" ht="15" hidden="false" customHeight="false" outlineLevel="0" collapsed="false">
      <c r="A26" s="2" t="s">
        <v>980</v>
      </c>
    </row>
    <row r="27" customFormat="false" ht="15" hidden="false" customHeight="false" outlineLevel="0" collapsed="false">
      <c r="A27" s="2" t="s">
        <v>981</v>
      </c>
    </row>
    <row r="28" customFormat="false" ht="15" hidden="false" customHeight="false" outlineLevel="0" collapsed="false">
      <c r="A28" s="2" t="s">
        <v>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7" min="4" style="0" width="12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983</v>
      </c>
    </row>
    <row r="2" customFormat="false" ht="15" hidden="false" customHeight="false" outlineLevel="0" collapsed="false">
      <c r="A2" s="2" t="s">
        <v>984</v>
      </c>
    </row>
    <row r="4" customFormat="false" ht="15" hidden="false" customHeight="false" outlineLevel="0" collapsed="false">
      <c r="A4" s="37" t="s">
        <v>985</v>
      </c>
      <c r="B4" s="38"/>
      <c r="C4" s="38"/>
      <c r="D4" s="38"/>
      <c r="E4" s="38"/>
    </row>
    <row r="6" customFormat="false" ht="15" hidden="false" customHeight="false" outlineLevel="0" collapsed="false">
      <c r="A6" s="22" t="s">
        <v>986</v>
      </c>
      <c r="B6" s="40" t="n">
        <v>300</v>
      </c>
      <c r="D6" s="2" t="s">
        <v>987</v>
      </c>
    </row>
    <row r="7" customFormat="false" ht="15" hidden="false" customHeight="false" outlineLevel="0" collapsed="false">
      <c r="A7" s="22" t="s">
        <v>988</v>
      </c>
      <c r="B7" s="23" t="n">
        <v>0.12</v>
      </c>
      <c r="D7" s="22" t="s">
        <v>989</v>
      </c>
      <c r="E7" s="23" t="n">
        <v>0.5</v>
      </c>
    </row>
    <row r="8" customFormat="false" ht="15" hidden="false" customHeight="false" outlineLevel="0" collapsed="false">
      <c r="A8" s="22" t="s">
        <v>990</v>
      </c>
      <c r="B8" s="24" t="n">
        <v>300</v>
      </c>
      <c r="D8" s="22" t="s">
        <v>991</v>
      </c>
      <c r="E8" s="23" t="n">
        <v>0.3</v>
      </c>
    </row>
    <row r="9" customFormat="false" ht="15" hidden="false" customHeight="false" outlineLevel="0" collapsed="false">
      <c r="A9" s="22" t="s">
        <v>380</v>
      </c>
      <c r="B9" s="23" t="n">
        <v>0.2</v>
      </c>
      <c r="D9" s="22" t="s">
        <v>992</v>
      </c>
      <c r="E9" s="23" t="n">
        <v>0.2</v>
      </c>
    </row>
    <row r="10" customFormat="false" ht="15" hidden="false" customHeight="false" outlineLevel="0" collapsed="false">
      <c r="A10" s="22" t="s">
        <v>382</v>
      </c>
      <c r="B10" s="24" t="n">
        <v>900</v>
      </c>
    </row>
    <row r="11" customFormat="false" ht="15" hidden="false" customHeight="false" outlineLevel="0" collapsed="false">
      <c r="A11" s="22" t="s">
        <v>993</v>
      </c>
      <c r="B11" s="23" t="n">
        <v>0.22</v>
      </c>
      <c r="D11" s="2" t="s">
        <v>994</v>
      </c>
    </row>
    <row r="12" customFormat="false" ht="15" hidden="false" customHeight="false" outlineLevel="0" collapsed="false">
      <c r="A12" s="22" t="s">
        <v>995</v>
      </c>
      <c r="B12" s="24" t="n">
        <v>33000</v>
      </c>
      <c r="D12" s="22" t="s">
        <v>996</v>
      </c>
      <c r="E12" s="40" t="n">
        <v>9</v>
      </c>
    </row>
    <row r="13" customFormat="false" ht="15" hidden="false" customHeight="false" outlineLevel="0" collapsed="false">
      <c r="A13" s="22" t="s">
        <v>997</v>
      </c>
      <c r="B13" s="24" t="n">
        <v>350000</v>
      </c>
      <c r="D13" s="22" t="s">
        <v>998</v>
      </c>
      <c r="E13" s="24" t="n">
        <v>120000</v>
      </c>
    </row>
    <row r="16" customFormat="false" ht="23.85" hidden="false" customHeight="false" outlineLevel="0" collapsed="false">
      <c r="A16" s="6" t="s">
        <v>999</v>
      </c>
      <c r="B16" s="6" t="s">
        <v>1000</v>
      </c>
      <c r="C16" s="6" t="s">
        <v>1001</v>
      </c>
      <c r="D16" s="6" t="s">
        <v>1002</v>
      </c>
      <c r="E16" s="6" t="s">
        <v>1003</v>
      </c>
      <c r="F16" s="6" t="s">
        <v>1004</v>
      </c>
      <c r="G16" s="6" t="s">
        <v>1005</v>
      </c>
      <c r="H16" s="6" t="s">
        <v>1006</v>
      </c>
      <c r="I16" s="6" t="s">
        <v>1007</v>
      </c>
      <c r="J16" s="6" t="s">
        <v>1008</v>
      </c>
      <c r="K16" s="6" t="s">
        <v>1009</v>
      </c>
    </row>
    <row r="17" customFormat="false" ht="15" hidden="false" customHeight="false" outlineLevel="0" collapsed="false">
      <c r="A17" s="14" t="n">
        <v>1</v>
      </c>
      <c r="B17" s="54" t="n">
        <f aca="false">$B$6*(1+$B$7)^0</f>
        <v>300</v>
      </c>
      <c r="C17" s="15" t="n">
        <f aca="false">B17*$B$8</f>
        <v>90000</v>
      </c>
      <c r="D17" s="36" t="n">
        <f aca="false">B17*$B$9</f>
        <v>60</v>
      </c>
      <c r="E17" s="15" t="n">
        <f aca="false">$B$10*($E$7*0+$E$8*0+$E$9*0)+IF(1=$E$12,$E$13,0)</f>
        <v>0</v>
      </c>
      <c r="F17" s="15" t="n">
        <f aca="false">C17*$B$11</f>
        <v>19800</v>
      </c>
      <c r="G17" s="15" t="n">
        <f aca="false">$B$12</f>
        <v>33000</v>
      </c>
      <c r="H17" s="15" t="n">
        <f aca="false">C17-E17-F17-G17</f>
        <v>37200</v>
      </c>
      <c r="I17" s="15" t="n">
        <f aca="false">$B$13+H17</f>
        <v>387200</v>
      </c>
      <c r="J17" s="15" t="n">
        <f aca="false">E17*3</f>
        <v>0</v>
      </c>
      <c r="K17" s="14" t="str">
        <f aca="false">IF(I17&gt;=J17,"OK",IF(I17&lt;0,"INSOLVENT","THIN"))</f>
        <v>OK</v>
      </c>
    </row>
    <row r="18" customFormat="false" ht="15" hidden="false" customHeight="false" outlineLevel="0" collapsed="false">
      <c r="A18" s="14" t="n">
        <v>2</v>
      </c>
      <c r="B18" s="54" t="n">
        <f aca="false">$B$6*(1+$B$7)^1</f>
        <v>336</v>
      </c>
      <c r="C18" s="15" t="n">
        <f aca="false">B18*$B$8</f>
        <v>100800</v>
      </c>
      <c r="D18" s="36" t="n">
        <f aca="false">B18*$B$9</f>
        <v>67.2</v>
      </c>
      <c r="E18" s="15" t="n">
        <f aca="false">$B$10*($E$7*D17+$E$8*0+$E$9*0)+IF(2=$E$12,$E$13,0)</f>
        <v>27000</v>
      </c>
      <c r="F18" s="15" t="n">
        <f aca="false">C18*$B$11</f>
        <v>22176</v>
      </c>
      <c r="G18" s="15" t="n">
        <f aca="false">$B$12</f>
        <v>33000</v>
      </c>
      <c r="H18" s="15" t="n">
        <f aca="false">C18-E18-F18-G18</f>
        <v>18624</v>
      </c>
      <c r="I18" s="15" t="n">
        <f aca="false">I17+H18</f>
        <v>405824</v>
      </c>
      <c r="J18" s="15" t="n">
        <f aca="false">E18*3</f>
        <v>81000</v>
      </c>
      <c r="K18" s="14" t="str">
        <f aca="false">IF(I18&gt;=J18,"OK",IF(I18&lt;0,"INSOLVENT","THIN"))</f>
        <v>OK</v>
      </c>
    </row>
    <row r="19" customFormat="false" ht="15" hidden="false" customHeight="false" outlineLevel="0" collapsed="false">
      <c r="A19" s="14" t="n">
        <v>3</v>
      </c>
      <c r="B19" s="54" t="n">
        <f aca="false">$B$6*(1+$B$7)^2</f>
        <v>376.32</v>
      </c>
      <c r="C19" s="15" t="n">
        <f aca="false">B19*$B$8</f>
        <v>112896</v>
      </c>
      <c r="D19" s="36" t="n">
        <f aca="false">B19*$B$9</f>
        <v>75.264</v>
      </c>
      <c r="E19" s="15" t="n">
        <f aca="false">$B$10*($E$7*D18+$E$8*D17+$E$9*0)+IF(3=$E$12,$E$13,0)</f>
        <v>46440</v>
      </c>
      <c r="F19" s="15" t="n">
        <f aca="false">C19*$B$11</f>
        <v>24837.12</v>
      </c>
      <c r="G19" s="15" t="n">
        <f aca="false">$B$12</f>
        <v>33000</v>
      </c>
      <c r="H19" s="15" t="n">
        <f aca="false">C19-E19-F19-G19</f>
        <v>8618.88</v>
      </c>
      <c r="I19" s="15" t="n">
        <f aca="false">I18+H19</f>
        <v>414442.88</v>
      </c>
      <c r="J19" s="15" t="n">
        <f aca="false">E19*3</f>
        <v>139320</v>
      </c>
      <c r="K19" s="14" t="str">
        <f aca="false">IF(I19&gt;=J19,"OK",IF(I19&lt;0,"INSOLVENT","THIN"))</f>
        <v>OK</v>
      </c>
    </row>
    <row r="20" customFormat="false" ht="15" hidden="false" customHeight="false" outlineLevel="0" collapsed="false">
      <c r="A20" s="14" t="n">
        <v>4</v>
      </c>
      <c r="B20" s="54" t="n">
        <f aca="false">$B$6*(1+$B$7)^3</f>
        <v>421.4784</v>
      </c>
      <c r="C20" s="15" t="n">
        <f aca="false">B20*$B$8</f>
        <v>126443.52</v>
      </c>
      <c r="D20" s="36" t="n">
        <f aca="false">B20*$B$9</f>
        <v>84.29568</v>
      </c>
      <c r="E20" s="15" t="n">
        <f aca="false">$B$10*($E$7*D19+$E$8*D18+$E$9*D17)+IF(4=$E$12,$E$13,0)</f>
        <v>62812.8</v>
      </c>
      <c r="F20" s="15" t="n">
        <f aca="false">C20*$B$11</f>
        <v>27817.5744</v>
      </c>
      <c r="G20" s="15" t="n">
        <f aca="false">$B$12</f>
        <v>33000</v>
      </c>
      <c r="H20" s="15" t="n">
        <f aca="false">C20-E20-F20-G20</f>
        <v>2813.14560000003</v>
      </c>
      <c r="I20" s="15" t="n">
        <f aca="false">I19+H20</f>
        <v>417256.0256</v>
      </c>
      <c r="J20" s="15" t="n">
        <f aca="false">E20*3</f>
        <v>188438.4</v>
      </c>
      <c r="K20" s="14" t="str">
        <f aca="false">IF(I20&gt;=J20,"OK",IF(I20&lt;0,"INSOLVENT","THIN"))</f>
        <v>OK</v>
      </c>
    </row>
    <row r="21" customFormat="false" ht="15" hidden="false" customHeight="false" outlineLevel="0" collapsed="false">
      <c r="A21" s="14" t="n">
        <v>5</v>
      </c>
      <c r="B21" s="54" t="n">
        <f aca="false">$B$6*(1+$B$7)^4</f>
        <v>472.055808</v>
      </c>
      <c r="C21" s="15" t="n">
        <f aca="false">B21*$B$8</f>
        <v>141616.7424</v>
      </c>
      <c r="D21" s="36" t="n">
        <f aca="false">B21*$B$9</f>
        <v>94.4111616</v>
      </c>
      <c r="E21" s="15" t="n">
        <f aca="false">$B$10*($E$7*D20+$E$8*D19+$E$9*D18)+IF(5=$E$12,$E$13,0)</f>
        <v>70350.336</v>
      </c>
      <c r="F21" s="15" t="n">
        <f aca="false">C21*$B$11</f>
        <v>31155.683328</v>
      </c>
      <c r="G21" s="15" t="n">
        <f aca="false">$B$12</f>
        <v>33000</v>
      </c>
      <c r="H21" s="15" t="n">
        <f aca="false">C21-E21-F21-G21</f>
        <v>7110.72307200002</v>
      </c>
      <c r="I21" s="15" t="n">
        <f aca="false">I20+H21</f>
        <v>424366.748672</v>
      </c>
      <c r="J21" s="15" t="n">
        <f aca="false">E21*3</f>
        <v>211051.008</v>
      </c>
      <c r="K21" s="14" t="str">
        <f aca="false">IF(I21&gt;=J21,"OK",IF(I21&lt;0,"INSOLVENT","THIN"))</f>
        <v>OK</v>
      </c>
    </row>
    <row r="22" customFormat="false" ht="15" hidden="false" customHeight="false" outlineLevel="0" collapsed="false">
      <c r="A22" s="14" t="n">
        <v>6</v>
      </c>
      <c r="B22" s="54" t="n">
        <f aca="false">$B$6*(1+$B$7)^5</f>
        <v>528.70250496</v>
      </c>
      <c r="C22" s="15" t="n">
        <f aca="false">B22*$B$8</f>
        <v>158610.751488</v>
      </c>
      <c r="D22" s="36" t="n">
        <f aca="false">B22*$B$9</f>
        <v>105.740500992</v>
      </c>
      <c r="E22" s="15" t="n">
        <f aca="false">$B$10*($E$7*D21+$E$8*D20+$E$9*D19)+IF(6=$E$12,$E$13,0)</f>
        <v>78792.37632</v>
      </c>
      <c r="F22" s="15" t="n">
        <f aca="false">C22*$B$11</f>
        <v>34894.36532736</v>
      </c>
      <c r="G22" s="15" t="n">
        <f aca="false">$B$12</f>
        <v>33000</v>
      </c>
      <c r="H22" s="15" t="n">
        <f aca="false">C22-E22-F22-G22</f>
        <v>11924.00984064</v>
      </c>
      <c r="I22" s="15" t="n">
        <f aca="false">I21+H22</f>
        <v>436290.75851264</v>
      </c>
      <c r="J22" s="15" t="n">
        <f aca="false">E22*3</f>
        <v>236377.12896</v>
      </c>
      <c r="K22" s="14" t="str">
        <f aca="false">IF(I22&gt;=J22,"OK",IF(I22&lt;0,"INSOLVENT","THIN"))</f>
        <v>OK</v>
      </c>
    </row>
    <row r="23" customFormat="false" ht="15" hidden="false" customHeight="false" outlineLevel="0" collapsed="false">
      <c r="A23" s="14" t="n">
        <v>7</v>
      </c>
      <c r="B23" s="54" t="n">
        <f aca="false">$B$6*(1+$B$7)^6</f>
        <v>592.1468055552</v>
      </c>
      <c r="C23" s="15" t="n">
        <f aca="false">B23*$B$8</f>
        <v>177644.04166656</v>
      </c>
      <c r="D23" s="36" t="n">
        <f aca="false">B23*$B$9</f>
        <v>118.42936111104</v>
      </c>
      <c r="E23" s="15" t="n">
        <f aca="false">$B$10*($E$7*D22+$E$8*D21+$E$9*D20)+IF(7=$E$12,$E$13,0)</f>
        <v>88247.4614784</v>
      </c>
      <c r="F23" s="15" t="n">
        <f aca="false">C23*$B$11</f>
        <v>39081.6891666432</v>
      </c>
      <c r="G23" s="15" t="n">
        <f aca="false">$B$12</f>
        <v>33000</v>
      </c>
      <c r="H23" s="15" t="n">
        <f aca="false">C23-E23-F23-G23</f>
        <v>17314.8910215169</v>
      </c>
      <c r="I23" s="15" t="n">
        <f aca="false">I22+H23</f>
        <v>453605.649534157</v>
      </c>
      <c r="J23" s="15" t="n">
        <f aca="false">E23*3</f>
        <v>264742.3844352</v>
      </c>
      <c r="K23" s="14" t="str">
        <f aca="false">IF(I23&gt;=J23,"OK",IF(I23&lt;0,"INSOLVENT","THIN"))</f>
        <v>OK</v>
      </c>
    </row>
    <row r="24" customFormat="false" ht="15" hidden="false" customHeight="false" outlineLevel="0" collapsed="false">
      <c r="A24" s="14" t="n">
        <v>8</v>
      </c>
      <c r="B24" s="54" t="n">
        <f aca="false">$B$6*(1+$B$7)^7</f>
        <v>663.204422221824</v>
      </c>
      <c r="C24" s="15" t="n">
        <f aca="false">B24*$B$8</f>
        <v>198961.326666547</v>
      </c>
      <c r="D24" s="36" t="n">
        <f aca="false">B24*$B$9</f>
        <v>132.640884444365</v>
      </c>
      <c r="E24" s="15" t="n">
        <f aca="false">$B$10*($E$7*D23+$E$8*D22+$E$9*D21)+IF(8=$E$12,$E$13,0)</f>
        <v>98837.1568558081</v>
      </c>
      <c r="F24" s="15" t="n">
        <f aca="false">C24*$B$11</f>
        <v>43771.4918666404</v>
      </c>
      <c r="G24" s="15" t="n">
        <f aca="false">$B$12</f>
        <v>33000</v>
      </c>
      <c r="H24" s="15" t="n">
        <f aca="false">C24-E24-F24-G24</f>
        <v>23352.6779440989</v>
      </c>
      <c r="I24" s="15" t="n">
        <f aca="false">I23+H24</f>
        <v>476958.327478256</v>
      </c>
      <c r="J24" s="15" t="n">
        <f aca="false">E24*3</f>
        <v>296511.470567424</v>
      </c>
      <c r="K24" s="14" t="str">
        <f aca="false">IF(I24&gt;=J24,"OK",IF(I24&lt;0,"INSOLVENT","THIN"))</f>
        <v>OK</v>
      </c>
    </row>
    <row r="25" customFormat="false" ht="15" hidden="false" customHeight="false" outlineLevel="0" collapsed="false">
      <c r="A25" s="14" t="n">
        <v>9</v>
      </c>
      <c r="B25" s="54" t="n">
        <f aca="false">$B$6*(1+$B$7)^8</f>
        <v>742.788952888443</v>
      </c>
      <c r="C25" s="15" t="n">
        <f aca="false">B25*$B$8</f>
        <v>222836.685866533</v>
      </c>
      <c r="D25" s="36" t="n">
        <f aca="false">B25*$B$9</f>
        <v>148.557790577689</v>
      </c>
      <c r="E25" s="15" t="n">
        <f aca="false">$B$10*($E$7*D24+$E$8*D23+$E$9*D22)+IF(9=$E$12,$E$13,0)</f>
        <v>230697.615678505</v>
      </c>
      <c r="F25" s="15" t="n">
        <f aca="false">C25*$B$11</f>
        <v>49024.0708906373</v>
      </c>
      <c r="G25" s="15" t="n">
        <f aca="false">$B$12</f>
        <v>33000</v>
      </c>
      <c r="H25" s="15" t="n">
        <f aca="false">C25-E25-F25-G25</f>
        <v>-89885.0007026093</v>
      </c>
      <c r="I25" s="15" t="n">
        <f aca="false">I24+H25</f>
        <v>387073.326775647</v>
      </c>
      <c r="J25" s="15" t="n">
        <f aca="false">E25*3</f>
        <v>692092.847035515</v>
      </c>
      <c r="K25" s="14" t="str">
        <f aca="false">IF(I25&gt;=J25,"OK",IF(I25&lt;0,"INSOLVENT","THIN"))</f>
        <v>THIN</v>
      </c>
    </row>
    <row r="26" customFormat="false" ht="15" hidden="false" customHeight="false" outlineLevel="0" collapsed="false">
      <c r="A26" s="14" t="n">
        <v>10</v>
      </c>
      <c r="B26" s="54" t="n">
        <f aca="false">$B$6*(1+$B$7)^9</f>
        <v>831.923627235057</v>
      </c>
      <c r="C26" s="15" t="n">
        <f aca="false">B26*$B$8</f>
        <v>249577.088170517</v>
      </c>
      <c r="D26" s="36" t="n">
        <f aca="false">B26*$B$9</f>
        <v>166.384725447011</v>
      </c>
      <c r="E26" s="15" t="n">
        <f aca="false">$B$10*($E$7*D25+$E$8*D24+$E$9*D23)+IF(10=$E$12,$E$13,0)</f>
        <v>123981.329559926</v>
      </c>
      <c r="F26" s="15" t="n">
        <f aca="false">C26*$B$11</f>
        <v>54906.9593975138</v>
      </c>
      <c r="G26" s="15" t="n">
        <f aca="false">$B$12</f>
        <v>33000</v>
      </c>
      <c r="H26" s="15" t="n">
        <f aca="false">C26-E26-F26-G26</f>
        <v>37688.7992130776</v>
      </c>
      <c r="I26" s="15" t="n">
        <f aca="false">I25+H26</f>
        <v>424762.125988724</v>
      </c>
      <c r="J26" s="15" t="n">
        <f aca="false">E26*3</f>
        <v>371943.988679777</v>
      </c>
      <c r="K26" s="14" t="str">
        <f aca="false">IF(I26&gt;=J26,"OK",IF(I26&lt;0,"INSOLVENT","THIN"))</f>
        <v>OK</v>
      </c>
    </row>
    <row r="27" customFormat="false" ht="15" hidden="false" customHeight="false" outlineLevel="0" collapsed="false">
      <c r="A27" s="14" t="n">
        <v>11</v>
      </c>
      <c r="B27" s="54" t="n">
        <f aca="false">$B$6*(1+$B$7)^10</f>
        <v>931.754462503264</v>
      </c>
      <c r="C27" s="15" t="n">
        <f aca="false">B27*$B$8</f>
        <v>279526.338750979</v>
      </c>
      <c r="D27" s="36" t="n">
        <f aca="false">B27*$B$9</f>
        <v>186.350892500653</v>
      </c>
      <c r="E27" s="15" t="n">
        <f aca="false">$B$10*($E$7*D26+$E$8*D25+$E$9*D24)+IF(11=$E$12,$E$13,0)</f>
        <v>138859.089107117</v>
      </c>
      <c r="F27" s="15" t="n">
        <f aca="false">C27*$B$11</f>
        <v>61495.7945252154</v>
      </c>
      <c r="G27" s="15" t="n">
        <f aca="false">$B$12</f>
        <v>33000</v>
      </c>
      <c r="H27" s="15" t="n">
        <f aca="false">C27-E27-F27-G27</f>
        <v>46171.455118647</v>
      </c>
      <c r="I27" s="15" t="n">
        <f aca="false">I26+H27</f>
        <v>470933.581107371</v>
      </c>
      <c r="J27" s="15" t="n">
        <f aca="false">E27*3</f>
        <v>416577.26732135</v>
      </c>
      <c r="K27" s="14" t="str">
        <f aca="false">IF(I27&gt;=J27,"OK",IF(I27&lt;0,"INSOLVENT","THIN"))</f>
        <v>OK</v>
      </c>
    </row>
    <row r="28" customFormat="false" ht="15" hidden="false" customHeight="false" outlineLevel="0" collapsed="false">
      <c r="A28" s="14" t="n">
        <v>12</v>
      </c>
      <c r="B28" s="54" t="n">
        <f aca="false">$B$6*(1+$B$7)^11</f>
        <v>1043.56499800366</v>
      </c>
      <c r="C28" s="15" t="n">
        <f aca="false">B28*$B$8</f>
        <v>313069.499401097</v>
      </c>
      <c r="D28" s="36" t="n">
        <f aca="false">B28*$B$9</f>
        <v>208.712999600731</v>
      </c>
      <c r="E28" s="15" t="n">
        <f aca="false">$B$10*($E$7*D27+$E$8*D26+$E$9*D25)+IF(12=$E$12,$E$13,0)</f>
        <v>155522.179799971</v>
      </c>
      <c r="F28" s="15" t="n">
        <f aca="false">C28*$B$11</f>
        <v>68875.2898682413</v>
      </c>
      <c r="G28" s="15" t="n">
        <f aca="false">$B$12</f>
        <v>33000</v>
      </c>
      <c r="H28" s="15" t="n">
        <f aca="false">C28-E28-F28-G28</f>
        <v>55672.0297328846</v>
      </c>
      <c r="I28" s="15" t="n">
        <f aca="false">I27+H28</f>
        <v>526605.610840256</v>
      </c>
      <c r="J28" s="15" t="n">
        <f aca="false">E28*3</f>
        <v>466566.539399912</v>
      </c>
      <c r="K28" s="14" t="str">
        <f aca="false">IF(I28&gt;=J28,"OK",IF(I28&lt;0,"INSOLVENT","THIN"))</f>
        <v>OK</v>
      </c>
    </row>
    <row r="29" customFormat="false" ht="15" hidden="false" customHeight="false" outlineLevel="0" collapsed="false">
      <c r="A29" s="14" t="n">
        <v>13</v>
      </c>
      <c r="B29" s="54" t="n">
        <f aca="false">$B$6*(1+$B$7)^12</f>
        <v>1168.79279776409</v>
      </c>
      <c r="C29" s="15" t="n">
        <f aca="false">B29*$B$8</f>
        <v>350637.839329228</v>
      </c>
      <c r="D29" s="36" t="n">
        <f aca="false">B29*$B$9</f>
        <v>233.758559552819</v>
      </c>
      <c r="E29" s="15" t="n">
        <f aca="false">$B$10*($E$7*D28+$E$8*D27+$E$9*D26)+IF(13=$E$12,$E$13,0)</f>
        <v>174184.841375967</v>
      </c>
      <c r="F29" s="15" t="n">
        <f aca="false">C29*$B$11</f>
        <v>77140.3246524302</v>
      </c>
      <c r="G29" s="15" t="n">
        <f aca="false">$B$12</f>
        <v>33000</v>
      </c>
      <c r="H29" s="15" t="n">
        <f aca="false">C29-E29-F29-G29</f>
        <v>66312.6733008307</v>
      </c>
      <c r="I29" s="15" t="n">
        <f aca="false">I28+H29</f>
        <v>592918.284141087</v>
      </c>
      <c r="J29" s="15" t="n">
        <f aca="false">E29*3</f>
        <v>522554.524127902</v>
      </c>
      <c r="K29" s="14" t="str">
        <f aca="false">IF(I29&gt;=J29,"OK",IF(I29&lt;0,"INSOLVENT","THIN"))</f>
        <v>OK</v>
      </c>
    </row>
    <row r="30" customFormat="false" ht="15" hidden="false" customHeight="false" outlineLevel="0" collapsed="false">
      <c r="A30" s="14" t="n">
        <v>14</v>
      </c>
      <c r="B30" s="54" t="n">
        <f aca="false">$B$6*(1+$B$7)^13</f>
        <v>1309.04793349579</v>
      </c>
      <c r="C30" s="15" t="n">
        <f aca="false">B30*$B$8</f>
        <v>392714.380048736</v>
      </c>
      <c r="D30" s="36" t="n">
        <f aca="false">B30*$B$9</f>
        <v>261.809586699157</v>
      </c>
      <c r="E30" s="15" t="n">
        <f aca="false">$B$10*($E$7*D29+$E$8*D28+$E$9*D27)+IF(14=$E$12,$E$13,0)</f>
        <v>195087.022341083</v>
      </c>
      <c r="F30" s="15" t="n">
        <f aca="false">C30*$B$11</f>
        <v>86397.1636107219</v>
      </c>
      <c r="G30" s="15" t="n">
        <f aca="false">$B$12</f>
        <v>33000</v>
      </c>
      <c r="H30" s="15" t="n">
        <f aca="false">C30-E30-F30-G30</f>
        <v>78230.1940969305</v>
      </c>
      <c r="I30" s="15" t="n">
        <f aca="false">I29+H30</f>
        <v>671148.478238017</v>
      </c>
      <c r="J30" s="15" t="n">
        <f aca="false">E30*3</f>
        <v>585261.06702325</v>
      </c>
      <c r="K30" s="14" t="str">
        <f aca="false">IF(I30&gt;=J30,"OK",IF(I30&lt;0,"INSOLVENT","THIN"))</f>
        <v>OK</v>
      </c>
    </row>
    <row r="31" customFormat="false" ht="15" hidden="false" customHeight="false" outlineLevel="0" collapsed="false">
      <c r="A31" s="14" t="n">
        <v>15</v>
      </c>
      <c r="B31" s="54" t="n">
        <f aca="false">$B$6*(1+$B$7)^14</f>
        <v>1466.13368551528</v>
      </c>
      <c r="C31" s="15" t="n">
        <f aca="false">B31*$B$8</f>
        <v>439840.105654584</v>
      </c>
      <c r="D31" s="36" t="n">
        <f aca="false">B31*$B$9</f>
        <v>293.226737103056</v>
      </c>
      <c r="E31" s="15" t="n">
        <f aca="false">$B$10*($E$7*D30+$E$8*D29+$E$9*D28)+IF(15=$E$12,$E$13,0)</f>
        <v>218497.465022013</v>
      </c>
      <c r="F31" s="15" t="n">
        <f aca="false">C31*$B$11</f>
        <v>96764.8232440085</v>
      </c>
      <c r="G31" s="15" t="n">
        <f aca="false">$B$12</f>
        <v>33000</v>
      </c>
      <c r="H31" s="15" t="n">
        <f aca="false">C31-E31-F31-G31</f>
        <v>91577.8173885621</v>
      </c>
      <c r="I31" s="15" t="n">
        <f aca="false">I30+H31</f>
        <v>762726.295626579</v>
      </c>
      <c r="J31" s="15" t="n">
        <f aca="false">E31*3</f>
        <v>655492.39506604</v>
      </c>
      <c r="K31" s="14" t="str">
        <f aca="false">IF(I31&gt;=J31,"OK",IF(I31&lt;0,"INSOLVENT","THIN"))</f>
        <v>OK</v>
      </c>
    </row>
    <row r="32" customFormat="false" ht="15" hidden="false" customHeight="false" outlineLevel="0" collapsed="false">
      <c r="A32" s="14" t="n">
        <v>16</v>
      </c>
      <c r="B32" s="54" t="n">
        <f aca="false">$B$6*(1+$B$7)^15</f>
        <v>1642.06972777711</v>
      </c>
      <c r="C32" s="15" t="n">
        <f aca="false">B32*$B$8</f>
        <v>492620.918333134</v>
      </c>
      <c r="D32" s="36" t="n">
        <f aca="false">B32*$B$9</f>
        <v>328.413945555423</v>
      </c>
      <c r="E32" s="15" t="n">
        <f aca="false">$B$10*($E$7*D31+$E$8*D30+$E$9*D29)+IF(16=$E$12,$E$13,0)</f>
        <v>244717.160824655</v>
      </c>
      <c r="F32" s="15" t="n">
        <f aca="false">C32*$B$11</f>
        <v>108376.60203329</v>
      </c>
      <c r="G32" s="15" t="n">
        <f aca="false">$B$12</f>
        <v>33000</v>
      </c>
      <c r="H32" s="15" t="n">
        <f aca="false">C32-E32-F32-G32</f>
        <v>106527.15547519</v>
      </c>
      <c r="I32" s="15" t="n">
        <f aca="false">I31+H32</f>
        <v>869253.451101769</v>
      </c>
      <c r="J32" s="15" t="n">
        <f aca="false">E32*3</f>
        <v>734151.482473965</v>
      </c>
      <c r="K32" s="14" t="str">
        <f aca="false">IF(I32&gt;=J32,"OK",IF(I32&lt;0,"INSOLVENT","THIN"))</f>
        <v>OK</v>
      </c>
    </row>
    <row r="33" customFormat="false" ht="15" hidden="false" customHeight="false" outlineLevel="0" collapsed="false">
      <c r="A33" s="14" t="n">
        <v>17</v>
      </c>
      <c r="B33" s="54" t="n">
        <f aca="false">$B$6*(1+$B$7)^16</f>
        <v>1839.11809511037</v>
      </c>
      <c r="C33" s="15" t="n">
        <f aca="false">B33*$B$8</f>
        <v>551735.42853311</v>
      </c>
      <c r="D33" s="36" t="n">
        <f aca="false">B33*$B$9</f>
        <v>367.823619022074</v>
      </c>
      <c r="E33" s="15" t="n">
        <f aca="false">$B$10*($E$7*D32+$E$8*D31+$E$9*D30)+IF(17=$E$12,$E$13,0)</f>
        <v>274083.220123614</v>
      </c>
      <c r="F33" s="15" t="n">
        <f aca="false">C33*$B$11</f>
        <v>121381.794277284</v>
      </c>
      <c r="G33" s="15" t="n">
        <f aca="false">$B$12</f>
        <v>33000</v>
      </c>
      <c r="H33" s="15" t="n">
        <f aca="false">C33-E33-F33-G33</f>
        <v>123270.414132212</v>
      </c>
      <c r="I33" s="15" t="n">
        <f aca="false">I32+H33</f>
        <v>992523.865233981</v>
      </c>
      <c r="J33" s="15" t="n">
        <f aca="false">E33*3</f>
        <v>822249.660370841</v>
      </c>
      <c r="K33" s="14" t="str">
        <f aca="false">IF(I33&gt;=J33,"OK",IF(I33&lt;0,"INSOLVENT","THIN"))</f>
        <v>OK</v>
      </c>
    </row>
    <row r="34" customFormat="false" ht="15" hidden="false" customHeight="false" outlineLevel="0" collapsed="false">
      <c r="A34" s="14" t="n">
        <v>18</v>
      </c>
      <c r="B34" s="54" t="n">
        <f aca="false">$B$6*(1+$B$7)^17</f>
        <v>2059.81226652361</v>
      </c>
      <c r="C34" s="15" t="n">
        <f aca="false">B34*$B$8</f>
        <v>617943.679957083</v>
      </c>
      <c r="D34" s="36" t="n">
        <f aca="false">B34*$B$9</f>
        <v>411.962453304722</v>
      </c>
      <c r="E34" s="15" t="n">
        <f aca="false">$B$10*($E$7*D33+$E$8*D32+$E$9*D31)+IF(18=$E$12,$E$13,0)</f>
        <v>306973.206538447</v>
      </c>
      <c r="F34" s="15" t="n">
        <f aca="false">C34*$B$11</f>
        <v>135947.609590558</v>
      </c>
      <c r="G34" s="15" t="n">
        <f aca="false">$B$12</f>
        <v>33000</v>
      </c>
      <c r="H34" s="15" t="n">
        <f aca="false">C34-E34-F34-G34</f>
        <v>142022.863828078</v>
      </c>
      <c r="I34" s="15" t="n">
        <f aca="false">I33+H34</f>
        <v>1134546.72906206</v>
      </c>
      <c r="J34" s="15" t="n">
        <f aca="false">E34*3</f>
        <v>920919.619615342</v>
      </c>
      <c r="K34" s="14" t="str">
        <f aca="false">IF(I34&gt;=J34,"OK",IF(I34&lt;0,"INSOLVENT","THIN"))</f>
        <v>OK</v>
      </c>
    </row>
    <row r="36" customFormat="false" ht="15" hidden="false" customHeight="false" outlineLevel="0" collapsed="false">
      <c r="A36" s="2" t="s">
        <v>1010</v>
      </c>
    </row>
    <row r="37" customFormat="false" ht="15" hidden="false" customHeight="false" outlineLevel="0" collapsed="false">
      <c r="A37" s="2" t="s">
        <v>1011</v>
      </c>
    </row>
    <row r="38" customFormat="false" ht="15" hidden="false" customHeight="false" outlineLevel="0" collapsed="false">
      <c r="A38" s="2" t="s">
        <v>1012</v>
      </c>
    </row>
    <row r="39" customFormat="false" ht="15" hidden="false" customHeight="false" outlineLevel="0" collapsed="false">
      <c r="A39" s="2" t="s">
        <v>1013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4"/>
  </cols>
  <sheetData>
    <row r="1" customFormat="false" ht="17.35" hidden="false" customHeight="false" outlineLevel="0" collapsed="false">
      <c r="A1" s="1" t="s">
        <v>1014</v>
      </c>
    </row>
    <row r="2" customFormat="false" ht="15" hidden="false" customHeight="false" outlineLevel="0" collapsed="false">
      <c r="A2" s="2" t="s">
        <v>1015</v>
      </c>
    </row>
    <row r="4" customFormat="false" ht="15" hidden="false" customHeight="false" outlineLevel="0" collapsed="false">
      <c r="A4" s="37" t="s">
        <v>1016</v>
      </c>
      <c r="B4" s="38"/>
    </row>
    <row r="5" customFormat="false" ht="23.85" hidden="false" customHeight="false" outlineLevel="0" collapsed="false">
      <c r="A5" s="50" t="s">
        <v>1017</v>
      </c>
      <c r="B5" s="16" t="s">
        <v>1018</v>
      </c>
    </row>
    <row r="6" customFormat="false" ht="23.85" hidden="false" customHeight="false" outlineLevel="0" collapsed="false">
      <c r="A6" s="50" t="s">
        <v>1019</v>
      </c>
      <c r="B6" s="16" t="s">
        <v>1020</v>
      </c>
    </row>
    <row r="7" customFormat="false" ht="23.85" hidden="false" customHeight="false" outlineLevel="0" collapsed="false">
      <c r="A7" s="50" t="s">
        <v>1021</v>
      </c>
      <c r="B7" s="16" t="s">
        <v>1022</v>
      </c>
    </row>
    <row r="8" customFormat="false" ht="23.85" hidden="false" customHeight="false" outlineLevel="0" collapsed="false">
      <c r="A8" s="50" t="s">
        <v>1023</v>
      </c>
      <c r="B8" s="16" t="s">
        <v>1024</v>
      </c>
    </row>
    <row r="9" customFormat="false" ht="23.85" hidden="false" customHeight="false" outlineLevel="0" collapsed="false">
      <c r="A9" s="50" t="s">
        <v>1025</v>
      </c>
      <c r="B9" s="16" t="s">
        <v>1026</v>
      </c>
    </row>
    <row r="10" customFormat="false" ht="23.85" hidden="false" customHeight="false" outlineLevel="0" collapsed="false">
      <c r="A10" s="50" t="s">
        <v>1027</v>
      </c>
      <c r="B10" s="16" t="s">
        <v>1028</v>
      </c>
    </row>
    <row r="11" customFormat="false" ht="23.85" hidden="false" customHeight="false" outlineLevel="0" collapsed="false">
      <c r="A11" s="50" t="s">
        <v>1029</v>
      </c>
      <c r="B11" s="16" t="s">
        <v>1030</v>
      </c>
    </row>
    <row r="12" customFormat="false" ht="23.85" hidden="false" customHeight="false" outlineLevel="0" collapsed="false">
      <c r="A12" s="50" t="s">
        <v>1031</v>
      </c>
      <c r="B12" s="16" t="s">
        <v>1032</v>
      </c>
    </row>
    <row r="13" customFormat="false" ht="35.05" hidden="false" customHeight="false" outlineLevel="0" collapsed="false">
      <c r="A13" s="50" t="s">
        <v>1033</v>
      </c>
      <c r="B13" s="16" t="s">
        <v>1034</v>
      </c>
    </row>
    <row r="15" customFormat="false" ht="15" hidden="false" customHeight="false" outlineLevel="0" collapsed="false">
      <c r="A15" s="37" t="s">
        <v>1035</v>
      </c>
      <c r="B15" s="38"/>
    </row>
    <row r="16" customFormat="false" ht="23.85" hidden="false" customHeight="false" outlineLevel="0" collapsed="false">
      <c r="A16" s="50" t="s">
        <v>1036</v>
      </c>
      <c r="B16" s="16" t="s">
        <v>1037</v>
      </c>
    </row>
    <row r="17" customFormat="false" ht="23.85" hidden="false" customHeight="false" outlineLevel="0" collapsed="false">
      <c r="A17" s="50" t="s">
        <v>1038</v>
      </c>
      <c r="B17" s="16" t="s">
        <v>1039</v>
      </c>
    </row>
    <row r="18" customFormat="false" ht="35.05" hidden="false" customHeight="false" outlineLevel="0" collapsed="false">
      <c r="A18" s="50" t="s">
        <v>1040</v>
      </c>
      <c r="B18" s="16" t="s">
        <v>1041</v>
      </c>
    </row>
    <row r="19" customFormat="false" ht="35.05" hidden="false" customHeight="false" outlineLevel="0" collapsed="false">
      <c r="A19" s="50" t="s">
        <v>1042</v>
      </c>
      <c r="B19" s="16" t="s">
        <v>1043</v>
      </c>
    </row>
    <row r="20" customFormat="false" ht="23.85" hidden="false" customHeight="false" outlineLevel="0" collapsed="false">
      <c r="A20" s="50" t="s">
        <v>1044</v>
      </c>
      <c r="B20" s="16" t="s">
        <v>1045</v>
      </c>
    </row>
    <row r="21" customFormat="false" ht="23.85" hidden="false" customHeight="false" outlineLevel="0" collapsed="false">
      <c r="A21" s="50" t="s">
        <v>1046</v>
      </c>
      <c r="B21" s="16" t="s">
        <v>1047</v>
      </c>
    </row>
    <row r="23" customFormat="false" ht="15" hidden="false" customHeight="false" outlineLevel="0" collapsed="false">
      <c r="A23" s="37" t="s">
        <v>1048</v>
      </c>
      <c r="B23" s="38"/>
    </row>
    <row r="24" customFormat="false" ht="35.05" hidden="false" customHeight="false" outlineLevel="0" collapsed="false">
      <c r="A24" s="50" t="s">
        <v>1049</v>
      </c>
      <c r="B24" s="16" t="s">
        <v>1050</v>
      </c>
    </row>
    <row r="25" customFormat="false" ht="35.05" hidden="false" customHeight="false" outlineLevel="0" collapsed="false">
      <c r="A25" s="50" t="s">
        <v>1051</v>
      </c>
      <c r="B25" s="16" t="s">
        <v>1052</v>
      </c>
    </row>
    <row r="26" customFormat="false" ht="35.05" hidden="false" customHeight="false" outlineLevel="0" collapsed="false">
      <c r="A26" s="50" t="s">
        <v>1053</v>
      </c>
      <c r="B26" s="16" t="s">
        <v>1054</v>
      </c>
    </row>
    <row r="27" customFormat="false" ht="23.85" hidden="false" customHeight="false" outlineLevel="0" collapsed="false">
      <c r="A27" s="50" t="s">
        <v>1055</v>
      </c>
      <c r="B27" s="16" t="s">
        <v>1056</v>
      </c>
    </row>
    <row r="29" customFormat="false" ht="15" hidden="false" customHeight="false" outlineLevel="0" collapsed="false">
      <c r="A29" s="37" t="s">
        <v>1057</v>
      </c>
      <c r="B29" s="38"/>
    </row>
    <row r="30" customFormat="false" ht="23.85" hidden="false" customHeight="false" outlineLevel="0" collapsed="false">
      <c r="A30" s="50" t="s">
        <v>1058</v>
      </c>
      <c r="B30" s="16" t="s">
        <v>1059</v>
      </c>
    </row>
    <row r="31" customFormat="false" ht="23.85" hidden="false" customHeight="false" outlineLevel="0" collapsed="false">
      <c r="A31" s="50" t="s">
        <v>1060</v>
      </c>
      <c r="B31" s="16" t="s">
        <v>1061</v>
      </c>
    </row>
    <row r="32" customFormat="false" ht="23.85" hidden="false" customHeight="false" outlineLevel="0" collapsed="false">
      <c r="A32" s="50" t="s">
        <v>1062</v>
      </c>
      <c r="B32" s="16" t="s">
        <v>1063</v>
      </c>
    </row>
    <row r="33" customFormat="false" ht="23.85" hidden="false" customHeight="false" outlineLevel="0" collapsed="false">
      <c r="A33" s="50" t="s">
        <v>1064</v>
      </c>
      <c r="B33" s="16" t="s">
        <v>1065</v>
      </c>
    </row>
    <row r="34" customFormat="false" ht="23.85" hidden="false" customHeight="false" outlineLevel="0" collapsed="false">
      <c r="A34" s="50" t="s">
        <v>1066</v>
      </c>
      <c r="B34" s="16" t="s">
        <v>1067</v>
      </c>
    </row>
    <row r="35" customFormat="false" ht="35.05" hidden="false" customHeight="false" outlineLevel="0" collapsed="false">
      <c r="A35" s="50" t="s">
        <v>1003</v>
      </c>
      <c r="B35" s="16" t="s">
        <v>1068</v>
      </c>
    </row>
    <row r="37" customFormat="false" ht="15" hidden="false" customHeight="false" outlineLevel="0" collapsed="false">
      <c r="A37" s="37" t="s">
        <v>1069</v>
      </c>
      <c r="B37" s="38"/>
    </row>
    <row r="38" customFormat="false" ht="23.85" hidden="false" customHeight="false" outlineLevel="0" collapsed="false">
      <c r="A38" s="50" t="s">
        <v>1070</v>
      </c>
      <c r="B38" s="16" t="s">
        <v>1071</v>
      </c>
    </row>
    <row r="39" customFormat="false" ht="23.85" hidden="false" customHeight="false" outlineLevel="0" collapsed="false">
      <c r="A39" s="50" t="s">
        <v>1072</v>
      </c>
      <c r="B39" s="16" t="s">
        <v>1073</v>
      </c>
    </row>
    <row r="40" customFormat="false" ht="23.85" hidden="false" customHeight="false" outlineLevel="0" collapsed="false">
      <c r="A40" s="50" t="s">
        <v>1074</v>
      </c>
      <c r="B40" s="16" t="s">
        <v>1075</v>
      </c>
    </row>
    <row r="41" customFormat="false" ht="23.85" hidden="false" customHeight="false" outlineLevel="0" collapsed="false">
      <c r="A41" s="50" t="s">
        <v>1076</v>
      </c>
      <c r="B41" s="16" t="s">
        <v>1077</v>
      </c>
    </row>
    <row r="43" customFormat="false" ht="15" hidden="false" customHeight="false" outlineLevel="0" collapsed="false">
      <c r="A43" s="37" t="s">
        <v>1078</v>
      </c>
      <c r="B43" s="38"/>
    </row>
    <row r="44" customFormat="false" ht="23.85" hidden="false" customHeight="false" outlineLevel="0" collapsed="false">
      <c r="A44" s="50" t="s">
        <v>1079</v>
      </c>
      <c r="B44" s="16" t="s">
        <v>1080</v>
      </c>
    </row>
    <row r="45" customFormat="false" ht="23.85" hidden="false" customHeight="false" outlineLevel="0" collapsed="false">
      <c r="A45" s="50" t="s">
        <v>1081</v>
      </c>
      <c r="B45" s="16" t="s">
        <v>1082</v>
      </c>
    </row>
    <row r="46" customFormat="false" ht="23.85" hidden="false" customHeight="false" outlineLevel="0" collapsed="false">
      <c r="A46" s="50" t="s">
        <v>1083</v>
      </c>
      <c r="B46" s="16" t="s">
        <v>1084</v>
      </c>
    </row>
    <row r="47" customFormat="false" ht="35.05" hidden="false" customHeight="false" outlineLevel="0" collapsed="false">
      <c r="A47" s="50" t="s">
        <v>1085</v>
      </c>
      <c r="B47" s="16" t="s">
        <v>1086</v>
      </c>
    </row>
    <row r="48" customFormat="false" ht="23.85" hidden="false" customHeight="false" outlineLevel="0" collapsed="false">
      <c r="A48" s="50" t="s">
        <v>1087</v>
      </c>
      <c r="B48" s="16" t="s">
        <v>1088</v>
      </c>
    </row>
    <row r="50" customFormat="false" ht="15" hidden="false" customHeight="false" outlineLevel="0" collapsed="false">
      <c r="A50" s="37" t="s">
        <v>1089</v>
      </c>
      <c r="B50" s="38"/>
    </row>
    <row r="51" customFormat="false" ht="35.05" hidden="false" customHeight="false" outlineLevel="0" collapsed="false">
      <c r="A51" s="50" t="s">
        <v>1090</v>
      </c>
      <c r="B51" s="16" t="s">
        <v>1091</v>
      </c>
    </row>
    <row r="52" customFormat="false" ht="35.05" hidden="false" customHeight="false" outlineLevel="0" collapsed="false">
      <c r="A52" s="50" t="s">
        <v>1092</v>
      </c>
      <c r="B52" s="16" t="s">
        <v>1093</v>
      </c>
    </row>
    <row r="53" customFormat="false" ht="23.85" hidden="false" customHeight="false" outlineLevel="0" collapsed="false">
      <c r="A53" s="50" t="s">
        <v>1094</v>
      </c>
      <c r="B53" s="16" t="s">
        <v>1095</v>
      </c>
    </row>
    <row r="54" customFormat="false" ht="46.25" hidden="false" customHeight="false" outlineLevel="0" collapsed="false">
      <c r="A54" s="50" t="s">
        <v>1096</v>
      </c>
      <c r="B54" s="16" t="s">
        <v>1097</v>
      </c>
    </row>
    <row r="55" customFormat="false" ht="35.05" hidden="false" customHeight="false" outlineLevel="0" collapsed="false">
      <c r="A55" s="50" t="s">
        <v>1098</v>
      </c>
      <c r="B55" s="16" t="s">
        <v>1099</v>
      </c>
    </row>
    <row r="56" customFormat="false" ht="23.85" hidden="false" customHeight="false" outlineLevel="0" collapsed="false">
      <c r="A56" s="50" t="s">
        <v>1100</v>
      </c>
      <c r="B56" s="16" t="s">
        <v>1101</v>
      </c>
    </row>
    <row r="58" customFormat="false" ht="15" hidden="false" customHeight="false" outlineLevel="0" collapsed="false">
      <c r="A58" s="37" t="s">
        <v>1102</v>
      </c>
      <c r="B58" s="38"/>
    </row>
    <row r="59" customFormat="false" ht="57.45" hidden="false" customHeight="false" outlineLevel="0" collapsed="false">
      <c r="A59" s="50" t="s">
        <v>1103</v>
      </c>
      <c r="B59" s="16" t="s">
        <v>1104</v>
      </c>
    </row>
    <row r="60" customFormat="false" ht="35.05" hidden="false" customHeight="false" outlineLevel="0" collapsed="false">
      <c r="A60" s="50" t="s">
        <v>1105</v>
      </c>
      <c r="B60" s="16" t="s">
        <v>1106</v>
      </c>
    </row>
    <row r="61" customFormat="false" ht="46.25" hidden="false" customHeight="false" outlineLevel="0" collapsed="false">
      <c r="A61" s="50" t="s">
        <v>1107</v>
      </c>
      <c r="B61" s="16" t="s">
        <v>1108</v>
      </c>
    </row>
    <row r="62" customFormat="false" ht="57.45" hidden="false" customHeight="false" outlineLevel="0" collapsed="false">
      <c r="A62" s="50" t="s">
        <v>1109</v>
      </c>
      <c r="B62" s="16" t="s">
        <v>1110</v>
      </c>
    </row>
    <row r="63" customFormat="false" ht="35.05" hidden="false" customHeight="false" outlineLevel="0" collapsed="false">
      <c r="A63" s="50" t="s">
        <v>1111</v>
      </c>
      <c r="B63" s="16" t="s">
        <v>1112</v>
      </c>
    </row>
    <row r="64" customFormat="false" ht="35.05" hidden="false" customHeight="false" outlineLevel="0" collapsed="false">
      <c r="A64" s="50" t="s">
        <v>1113</v>
      </c>
      <c r="B64" s="16" t="s">
        <v>1114</v>
      </c>
    </row>
    <row r="66" customFormat="false" ht="15" hidden="false" customHeight="false" outlineLevel="0" collapsed="false">
      <c r="A66" s="37" t="s">
        <v>1115</v>
      </c>
      <c r="B66" s="38"/>
    </row>
    <row r="67" customFormat="false" ht="46.25" hidden="false" customHeight="false" outlineLevel="0" collapsed="false">
      <c r="A67" s="50" t="s">
        <v>1116</v>
      </c>
      <c r="B67" s="16" t="s">
        <v>1117</v>
      </c>
    </row>
    <row r="68" customFormat="false" ht="46.25" hidden="false" customHeight="false" outlineLevel="0" collapsed="false">
      <c r="A68" s="50" t="s">
        <v>1118</v>
      </c>
      <c r="B68" s="16" t="s">
        <v>1119</v>
      </c>
    </row>
    <row r="69" customFormat="false" ht="46.25" hidden="false" customHeight="false" outlineLevel="0" collapsed="false">
      <c r="A69" s="50" t="s">
        <v>1120</v>
      </c>
      <c r="B69" s="16" t="s">
        <v>1121</v>
      </c>
    </row>
    <row r="70" customFormat="false" ht="35.05" hidden="false" customHeight="false" outlineLevel="0" collapsed="false">
      <c r="A70" s="50" t="s">
        <v>1122</v>
      </c>
      <c r="B70" s="16" t="s">
        <v>1123</v>
      </c>
    </row>
    <row r="71" customFormat="false" ht="46.25" hidden="false" customHeight="false" outlineLevel="0" collapsed="false">
      <c r="A71" s="50" t="s">
        <v>1124</v>
      </c>
      <c r="B71" s="16" t="s">
        <v>1125</v>
      </c>
    </row>
    <row r="72" customFormat="false" ht="35.05" hidden="false" customHeight="false" outlineLevel="0" collapsed="false">
      <c r="A72" s="50" t="s">
        <v>1126</v>
      </c>
      <c r="B72" s="16" t="s">
        <v>1127</v>
      </c>
    </row>
    <row r="74" customFormat="false" ht="15" hidden="false" customHeight="false" outlineLevel="0" collapsed="false">
      <c r="A74" s="37" t="s">
        <v>1128</v>
      </c>
      <c r="B74" s="38"/>
    </row>
    <row r="75" customFormat="false" ht="23.85" hidden="false" customHeight="false" outlineLevel="0" collapsed="false">
      <c r="A75" s="50" t="s">
        <v>1129</v>
      </c>
      <c r="B75" s="16" t="s">
        <v>1130</v>
      </c>
    </row>
    <row r="76" customFormat="false" ht="15" hidden="false" customHeight="false" outlineLevel="0" collapsed="false">
      <c r="A76" s="50" t="s">
        <v>1131</v>
      </c>
      <c r="B76" s="16" t="s">
        <v>1132</v>
      </c>
    </row>
    <row r="77" customFormat="false" ht="15" hidden="false" customHeight="false" outlineLevel="0" collapsed="false">
      <c r="A77" s="50" t="s">
        <v>1133</v>
      </c>
      <c r="B77" s="16" t="s">
        <v>1134</v>
      </c>
    </row>
    <row r="78" customFormat="false" ht="23.85" hidden="false" customHeight="false" outlineLevel="0" collapsed="false">
      <c r="A78" s="50" t="s">
        <v>1135</v>
      </c>
      <c r="B78" s="16" t="s">
        <v>1136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2026-08-12T11:34:25Z</dcterms:created>
  <dc:creator>openpyxl</dc:creator>
  <dc:description/>
  <dc:language>en-US</dc:language>
  <cp:lastModifiedBy/>
  <dcterms:modified xsi:type="dcterms:W3CDTF">2026-08-12T11:34:53Z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